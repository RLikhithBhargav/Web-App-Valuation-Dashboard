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L:\BRANDEIS MSBA\Field Projects\FCAT\FCAT Spring 25'\Web App Valuation Dashboard\data\"/>
    </mc:Choice>
  </mc:AlternateContent>
  <xr:revisionPtr revIDLastSave="0" documentId="13_ncr:1_{A60B3574-800D-4255-AF1F-9801D6715D80}" xr6:coauthVersionLast="47" xr6:coauthVersionMax="47" xr10:uidLastSave="{00000000-0000-0000-0000-000000000000}"/>
  <bookViews>
    <workbookView xWindow="-90" yWindow="-90" windowWidth="19380" windowHeight="11460" firstSheet="1" activeTab="3" xr2:uid="{00000000-000D-0000-FFFF-FFFF00000000}"/>
  </bookViews>
  <sheets>
    <sheet name="Cover Page" sheetId="1" r:id="rId1"/>
    <sheet name="Assumption Table" sheetId="2" r:id="rId2"/>
    <sheet name="Projection Model" sheetId="3" r:id="rId3"/>
    <sheet name="Valuation Model" sheetId="4" r:id="rId4"/>
  </sheets>
  <calcPr calcId="191029"/>
</workbook>
</file>

<file path=xl/calcChain.xml><?xml version="1.0" encoding="utf-8"?>
<calcChain xmlns="http://schemas.openxmlformats.org/spreadsheetml/2006/main">
  <c r="G62" i="4" l="1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H39" i="4" s="1"/>
  <c r="E19" i="4"/>
  <c r="E31" i="4" s="1"/>
  <c r="C5" i="4"/>
  <c r="C3" i="4"/>
  <c r="BJ976" i="3"/>
  <c r="BJ975" i="3"/>
  <c r="BJ974" i="3"/>
  <c r="BJ973" i="3"/>
  <c r="BJ972" i="3"/>
  <c r="BJ971" i="3"/>
  <c r="BJ970" i="3"/>
  <c r="BJ969" i="3"/>
  <c r="BJ968" i="3"/>
  <c r="BJ967" i="3"/>
  <c r="BJ966" i="3"/>
  <c r="BJ965" i="3"/>
  <c r="BJ964" i="3"/>
  <c r="BJ963" i="3"/>
  <c r="BJ962" i="3"/>
  <c r="BJ961" i="3"/>
  <c r="BJ960" i="3"/>
  <c r="BJ959" i="3"/>
  <c r="BJ958" i="3"/>
  <c r="BJ957" i="3"/>
  <c r="BJ956" i="3"/>
  <c r="BJ955" i="3"/>
  <c r="BJ954" i="3"/>
  <c r="BJ953" i="3"/>
  <c r="BJ952" i="3"/>
  <c r="BJ951" i="3"/>
  <c r="BJ950" i="3"/>
  <c r="BJ949" i="3"/>
  <c r="BJ948" i="3"/>
  <c r="BJ947" i="3"/>
  <c r="BJ946" i="3"/>
  <c r="BJ945" i="3"/>
  <c r="BJ944" i="3"/>
  <c r="BJ943" i="3"/>
  <c r="BJ942" i="3"/>
  <c r="BJ941" i="3"/>
  <c r="BJ940" i="3"/>
  <c r="BJ939" i="3"/>
  <c r="BJ938" i="3"/>
  <c r="BJ937" i="3"/>
  <c r="BJ936" i="3"/>
  <c r="BJ935" i="3"/>
  <c r="BJ934" i="3"/>
  <c r="BJ933" i="3"/>
  <c r="BJ932" i="3"/>
  <c r="BJ931" i="3"/>
  <c r="BJ930" i="3"/>
  <c r="BJ929" i="3"/>
  <c r="BJ928" i="3"/>
  <c r="BJ927" i="3"/>
  <c r="BJ926" i="3"/>
  <c r="BJ925" i="3"/>
  <c r="BJ924" i="3"/>
  <c r="BJ923" i="3"/>
  <c r="BJ922" i="3"/>
  <c r="BJ921" i="3"/>
  <c r="BJ920" i="3"/>
  <c r="BJ919" i="3"/>
  <c r="BJ918" i="3"/>
  <c r="BJ917" i="3"/>
  <c r="BJ916" i="3"/>
  <c r="BJ915" i="3"/>
  <c r="BJ914" i="3"/>
  <c r="BJ913" i="3"/>
  <c r="BJ912" i="3"/>
  <c r="BJ911" i="3"/>
  <c r="BJ910" i="3"/>
  <c r="BJ909" i="3"/>
  <c r="BJ908" i="3"/>
  <c r="BJ907" i="3"/>
  <c r="BJ906" i="3"/>
  <c r="BJ905" i="3"/>
  <c r="BJ904" i="3"/>
  <c r="BJ903" i="3"/>
  <c r="BJ902" i="3"/>
  <c r="BJ901" i="3"/>
  <c r="BJ900" i="3"/>
  <c r="BJ899" i="3"/>
  <c r="BJ898" i="3"/>
  <c r="BJ897" i="3"/>
  <c r="BJ896" i="3"/>
  <c r="BJ895" i="3"/>
  <c r="BJ894" i="3"/>
  <c r="BJ893" i="3"/>
  <c r="BJ892" i="3"/>
  <c r="BJ891" i="3"/>
  <c r="BJ890" i="3"/>
  <c r="BJ889" i="3"/>
  <c r="BJ888" i="3"/>
  <c r="BJ887" i="3"/>
  <c r="BJ886" i="3"/>
  <c r="BJ885" i="3"/>
  <c r="BJ884" i="3"/>
  <c r="BJ883" i="3"/>
  <c r="BJ882" i="3"/>
  <c r="BJ881" i="3"/>
  <c r="BJ880" i="3"/>
  <c r="BJ879" i="3"/>
  <c r="BJ878" i="3"/>
  <c r="BJ877" i="3"/>
  <c r="BJ876" i="3"/>
  <c r="BJ875" i="3"/>
  <c r="BJ874" i="3"/>
  <c r="BJ873" i="3"/>
  <c r="BJ872" i="3"/>
  <c r="BJ871" i="3"/>
  <c r="BJ870" i="3"/>
  <c r="BJ869" i="3"/>
  <c r="BJ868" i="3"/>
  <c r="BJ867" i="3"/>
  <c r="BJ866" i="3"/>
  <c r="BJ865" i="3"/>
  <c r="BJ864" i="3"/>
  <c r="BJ863" i="3"/>
  <c r="BJ862" i="3"/>
  <c r="BJ861" i="3"/>
  <c r="BJ860" i="3"/>
  <c r="BJ859" i="3"/>
  <c r="BJ858" i="3"/>
  <c r="BJ857" i="3"/>
  <c r="BJ856" i="3"/>
  <c r="BJ855" i="3"/>
  <c r="BJ854" i="3"/>
  <c r="BJ853" i="3"/>
  <c r="BJ852" i="3"/>
  <c r="BJ851" i="3"/>
  <c r="BJ850" i="3"/>
  <c r="BJ849" i="3"/>
  <c r="BJ848" i="3"/>
  <c r="BJ847" i="3"/>
  <c r="BJ846" i="3"/>
  <c r="BJ845" i="3"/>
  <c r="BJ844" i="3"/>
  <c r="BJ843" i="3"/>
  <c r="BJ842" i="3"/>
  <c r="BJ841" i="3"/>
  <c r="BJ840" i="3"/>
  <c r="BJ839" i="3"/>
  <c r="BJ838" i="3"/>
  <c r="BJ837" i="3"/>
  <c r="BJ836" i="3"/>
  <c r="BJ835" i="3"/>
  <c r="BJ834" i="3"/>
  <c r="BJ833" i="3"/>
  <c r="BJ832" i="3"/>
  <c r="BJ831" i="3"/>
  <c r="BJ830" i="3"/>
  <c r="BJ829" i="3"/>
  <c r="BJ828" i="3"/>
  <c r="BJ827" i="3"/>
  <c r="BJ826" i="3"/>
  <c r="BJ825" i="3"/>
  <c r="BJ824" i="3"/>
  <c r="BJ823" i="3"/>
  <c r="BJ822" i="3"/>
  <c r="BJ821" i="3"/>
  <c r="BJ820" i="3"/>
  <c r="BJ819" i="3"/>
  <c r="BJ818" i="3"/>
  <c r="BJ817" i="3"/>
  <c r="BJ816" i="3"/>
  <c r="BJ815" i="3"/>
  <c r="BJ814" i="3"/>
  <c r="BJ813" i="3"/>
  <c r="BJ812" i="3"/>
  <c r="BJ811" i="3"/>
  <c r="BJ810" i="3"/>
  <c r="BJ809" i="3"/>
  <c r="BJ808" i="3"/>
  <c r="BJ807" i="3"/>
  <c r="BJ806" i="3"/>
  <c r="BJ805" i="3"/>
  <c r="BJ804" i="3"/>
  <c r="BJ803" i="3"/>
  <c r="BJ802" i="3"/>
  <c r="BJ801" i="3"/>
  <c r="BJ800" i="3"/>
  <c r="BJ799" i="3"/>
  <c r="BJ798" i="3"/>
  <c r="BJ797" i="3"/>
  <c r="BJ796" i="3"/>
  <c r="BJ795" i="3"/>
  <c r="BJ794" i="3"/>
  <c r="BJ793" i="3"/>
  <c r="BJ792" i="3"/>
  <c r="BJ791" i="3"/>
  <c r="BJ790" i="3"/>
  <c r="BJ789" i="3"/>
  <c r="BJ788" i="3"/>
  <c r="BJ787" i="3"/>
  <c r="BJ786" i="3"/>
  <c r="BJ785" i="3"/>
  <c r="BJ784" i="3"/>
  <c r="BJ783" i="3"/>
  <c r="BJ782" i="3"/>
  <c r="BJ781" i="3"/>
  <c r="BJ780" i="3"/>
  <c r="BJ779" i="3"/>
  <c r="BJ778" i="3"/>
  <c r="BJ777" i="3"/>
  <c r="BJ776" i="3"/>
  <c r="BJ775" i="3"/>
  <c r="BJ774" i="3"/>
  <c r="BJ773" i="3"/>
  <c r="BJ772" i="3"/>
  <c r="BJ771" i="3"/>
  <c r="BJ770" i="3"/>
  <c r="BJ769" i="3"/>
  <c r="BJ768" i="3"/>
  <c r="BJ767" i="3"/>
  <c r="BJ766" i="3"/>
  <c r="BJ765" i="3"/>
  <c r="BJ764" i="3"/>
  <c r="BJ763" i="3"/>
  <c r="BJ762" i="3"/>
  <c r="BJ761" i="3"/>
  <c r="BJ760" i="3"/>
  <c r="BJ759" i="3"/>
  <c r="BJ758" i="3"/>
  <c r="BJ757" i="3"/>
  <c r="BJ756" i="3"/>
  <c r="BJ755" i="3"/>
  <c r="BJ754" i="3"/>
  <c r="BJ753" i="3"/>
  <c r="BJ752" i="3"/>
  <c r="BJ751" i="3"/>
  <c r="BJ750" i="3"/>
  <c r="BJ749" i="3"/>
  <c r="BJ748" i="3"/>
  <c r="BJ747" i="3"/>
  <c r="BJ746" i="3"/>
  <c r="BJ745" i="3"/>
  <c r="BJ744" i="3"/>
  <c r="BJ743" i="3"/>
  <c r="BJ742" i="3"/>
  <c r="BJ741" i="3"/>
  <c r="BJ740" i="3"/>
  <c r="BJ739" i="3"/>
  <c r="BJ738" i="3"/>
  <c r="BJ737" i="3"/>
  <c r="BJ736" i="3"/>
  <c r="BJ735" i="3"/>
  <c r="BJ734" i="3"/>
  <c r="BJ733" i="3"/>
  <c r="BJ732" i="3"/>
  <c r="BJ731" i="3"/>
  <c r="BJ730" i="3"/>
  <c r="BJ729" i="3"/>
  <c r="BJ728" i="3"/>
  <c r="BJ727" i="3"/>
  <c r="BJ726" i="3"/>
  <c r="BJ725" i="3"/>
  <c r="BJ724" i="3"/>
  <c r="BJ723" i="3"/>
  <c r="BJ722" i="3"/>
  <c r="BJ721" i="3"/>
  <c r="BJ720" i="3"/>
  <c r="BJ719" i="3"/>
  <c r="BJ718" i="3"/>
  <c r="BJ717" i="3"/>
  <c r="BJ716" i="3"/>
  <c r="BJ715" i="3"/>
  <c r="BJ714" i="3"/>
  <c r="BJ713" i="3"/>
  <c r="BJ712" i="3"/>
  <c r="BJ711" i="3"/>
  <c r="BJ710" i="3"/>
  <c r="BJ709" i="3"/>
  <c r="BJ708" i="3"/>
  <c r="BJ707" i="3"/>
  <c r="BJ706" i="3"/>
  <c r="BJ705" i="3"/>
  <c r="BJ704" i="3"/>
  <c r="BJ703" i="3"/>
  <c r="BJ702" i="3"/>
  <c r="BJ701" i="3"/>
  <c r="BJ700" i="3"/>
  <c r="BJ699" i="3"/>
  <c r="BJ698" i="3"/>
  <c r="BJ697" i="3"/>
  <c r="BJ696" i="3"/>
  <c r="BJ695" i="3"/>
  <c r="BJ694" i="3"/>
  <c r="BJ693" i="3"/>
  <c r="BJ692" i="3"/>
  <c r="BJ691" i="3"/>
  <c r="BJ690" i="3"/>
  <c r="BJ689" i="3"/>
  <c r="BJ688" i="3"/>
  <c r="BJ687" i="3"/>
  <c r="BJ686" i="3"/>
  <c r="BJ685" i="3"/>
  <c r="BJ684" i="3"/>
  <c r="BJ683" i="3"/>
  <c r="BJ682" i="3"/>
  <c r="BJ681" i="3"/>
  <c r="BJ680" i="3"/>
  <c r="BJ679" i="3"/>
  <c r="BJ678" i="3"/>
  <c r="BJ677" i="3"/>
  <c r="BJ676" i="3"/>
  <c r="BJ675" i="3"/>
  <c r="BJ674" i="3"/>
  <c r="BJ673" i="3"/>
  <c r="BJ672" i="3"/>
  <c r="BJ671" i="3"/>
  <c r="BJ670" i="3"/>
  <c r="BJ669" i="3"/>
  <c r="BJ668" i="3"/>
  <c r="BJ667" i="3"/>
  <c r="BJ666" i="3"/>
  <c r="BJ665" i="3"/>
  <c r="BJ664" i="3"/>
  <c r="BJ663" i="3"/>
  <c r="BJ662" i="3"/>
  <c r="BJ661" i="3"/>
  <c r="BJ660" i="3"/>
  <c r="BJ659" i="3"/>
  <c r="BJ658" i="3"/>
  <c r="BJ657" i="3"/>
  <c r="BJ656" i="3"/>
  <c r="BJ655" i="3"/>
  <c r="BJ654" i="3"/>
  <c r="BJ653" i="3"/>
  <c r="BJ652" i="3"/>
  <c r="BJ651" i="3"/>
  <c r="BJ650" i="3"/>
  <c r="BJ649" i="3"/>
  <c r="BJ648" i="3"/>
  <c r="BJ647" i="3"/>
  <c r="BJ646" i="3"/>
  <c r="BJ645" i="3"/>
  <c r="BJ644" i="3"/>
  <c r="BJ643" i="3"/>
  <c r="BJ642" i="3"/>
  <c r="BJ641" i="3"/>
  <c r="BJ640" i="3"/>
  <c r="BJ639" i="3"/>
  <c r="BJ638" i="3"/>
  <c r="BJ637" i="3"/>
  <c r="BJ636" i="3"/>
  <c r="BJ635" i="3"/>
  <c r="BJ634" i="3"/>
  <c r="BJ633" i="3"/>
  <c r="BJ632" i="3"/>
  <c r="BJ631" i="3"/>
  <c r="BJ630" i="3"/>
  <c r="BJ629" i="3"/>
  <c r="BJ628" i="3"/>
  <c r="BJ627" i="3"/>
  <c r="BJ626" i="3"/>
  <c r="BJ625" i="3"/>
  <c r="BJ624" i="3"/>
  <c r="BJ623" i="3"/>
  <c r="BJ622" i="3"/>
  <c r="BJ621" i="3"/>
  <c r="BJ620" i="3"/>
  <c r="BJ619" i="3"/>
  <c r="BJ618" i="3"/>
  <c r="BJ617" i="3"/>
  <c r="BJ616" i="3"/>
  <c r="BJ615" i="3"/>
  <c r="BJ614" i="3"/>
  <c r="BJ613" i="3"/>
  <c r="BJ612" i="3"/>
  <c r="BJ611" i="3"/>
  <c r="BJ610" i="3"/>
  <c r="BJ609" i="3"/>
  <c r="BJ608" i="3"/>
  <c r="BJ607" i="3"/>
  <c r="BJ606" i="3"/>
  <c r="BJ605" i="3"/>
  <c r="BJ604" i="3"/>
  <c r="BJ603" i="3"/>
  <c r="BJ602" i="3"/>
  <c r="BJ601" i="3"/>
  <c r="BJ600" i="3"/>
  <c r="BJ599" i="3"/>
  <c r="BJ598" i="3"/>
  <c r="BJ597" i="3"/>
  <c r="BJ596" i="3"/>
  <c r="BJ595" i="3"/>
  <c r="BJ594" i="3"/>
  <c r="BJ593" i="3"/>
  <c r="BJ592" i="3"/>
  <c r="BJ591" i="3"/>
  <c r="BJ590" i="3"/>
  <c r="BJ589" i="3"/>
  <c r="BJ588" i="3"/>
  <c r="BJ587" i="3"/>
  <c r="BJ586" i="3"/>
  <c r="BJ585" i="3"/>
  <c r="BJ584" i="3"/>
  <c r="BJ583" i="3"/>
  <c r="BJ582" i="3"/>
  <c r="BJ581" i="3"/>
  <c r="BJ580" i="3"/>
  <c r="BJ579" i="3"/>
  <c r="BJ578" i="3"/>
  <c r="BJ577" i="3"/>
  <c r="BJ576" i="3"/>
  <c r="BJ575" i="3"/>
  <c r="BJ574" i="3"/>
  <c r="BJ573" i="3"/>
  <c r="BJ572" i="3"/>
  <c r="BJ571" i="3"/>
  <c r="BJ570" i="3"/>
  <c r="BJ569" i="3"/>
  <c r="BJ568" i="3"/>
  <c r="BJ567" i="3"/>
  <c r="BJ566" i="3"/>
  <c r="BJ565" i="3"/>
  <c r="BJ564" i="3"/>
  <c r="BJ563" i="3"/>
  <c r="BJ562" i="3"/>
  <c r="BJ561" i="3"/>
  <c r="BJ560" i="3"/>
  <c r="BJ559" i="3"/>
  <c r="BJ558" i="3"/>
  <c r="BJ557" i="3"/>
  <c r="BJ556" i="3"/>
  <c r="BJ555" i="3"/>
  <c r="BJ554" i="3"/>
  <c r="BJ553" i="3"/>
  <c r="BJ552" i="3"/>
  <c r="BJ551" i="3"/>
  <c r="BJ550" i="3"/>
  <c r="BJ549" i="3"/>
  <c r="BJ548" i="3"/>
  <c r="BJ547" i="3"/>
  <c r="BJ546" i="3"/>
  <c r="BJ545" i="3"/>
  <c r="BJ544" i="3"/>
  <c r="BJ543" i="3"/>
  <c r="BJ542" i="3"/>
  <c r="BJ541" i="3"/>
  <c r="BJ540" i="3"/>
  <c r="BJ539" i="3"/>
  <c r="BJ538" i="3"/>
  <c r="BJ537" i="3"/>
  <c r="BJ536" i="3"/>
  <c r="BJ535" i="3"/>
  <c r="BJ534" i="3"/>
  <c r="BJ533" i="3"/>
  <c r="BJ532" i="3"/>
  <c r="BJ531" i="3"/>
  <c r="BJ530" i="3"/>
  <c r="BJ529" i="3"/>
  <c r="BJ528" i="3"/>
  <c r="BJ527" i="3"/>
  <c r="BJ526" i="3"/>
  <c r="BJ525" i="3"/>
  <c r="BJ524" i="3"/>
  <c r="BJ523" i="3"/>
  <c r="BJ522" i="3"/>
  <c r="BJ521" i="3"/>
  <c r="BJ520" i="3"/>
  <c r="BJ519" i="3"/>
  <c r="BJ518" i="3"/>
  <c r="BJ517" i="3"/>
  <c r="BJ516" i="3"/>
  <c r="BJ515" i="3"/>
  <c r="BJ514" i="3"/>
  <c r="BJ513" i="3"/>
  <c r="BJ512" i="3"/>
  <c r="BJ511" i="3"/>
  <c r="BJ510" i="3"/>
  <c r="BJ509" i="3"/>
  <c r="BJ508" i="3"/>
  <c r="BJ507" i="3"/>
  <c r="BJ506" i="3"/>
  <c r="BJ505" i="3"/>
  <c r="BJ504" i="3"/>
  <c r="BJ503" i="3"/>
  <c r="BJ502" i="3"/>
  <c r="BJ501" i="3"/>
  <c r="BJ500" i="3"/>
  <c r="BJ499" i="3"/>
  <c r="BJ498" i="3"/>
  <c r="BJ497" i="3"/>
  <c r="BJ496" i="3"/>
  <c r="BJ495" i="3"/>
  <c r="BJ494" i="3"/>
  <c r="BJ493" i="3"/>
  <c r="BJ492" i="3"/>
  <c r="BJ491" i="3"/>
  <c r="BJ490" i="3"/>
  <c r="BJ489" i="3"/>
  <c r="BJ488" i="3"/>
  <c r="BJ487" i="3"/>
  <c r="BJ486" i="3"/>
  <c r="BJ485" i="3"/>
  <c r="BJ484" i="3"/>
  <c r="BJ483" i="3"/>
  <c r="BJ482" i="3"/>
  <c r="BJ481" i="3"/>
  <c r="BJ480" i="3"/>
  <c r="BJ479" i="3"/>
  <c r="BJ478" i="3"/>
  <c r="BJ477" i="3"/>
  <c r="BJ476" i="3"/>
  <c r="BJ475" i="3"/>
  <c r="BJ474" i="3"/>
  <c r="BJ473" i="3"/>
  <c r="BJ472" i="3"/>
  <c r="BJ471" i="3"/>
  <c r="BJ470" i="3"/>
  <c r="BJ469" i="3"/>
  <c r="BJ468" i="3"/>
  <c r="BJ467" i="3"/>
  <c r="BJ466" i="3"/>
  <c r="BJ465" i="3"/>
  <c r="BJ464" i="3"/>
  <c r="BJ463" i="3"/>
  <c r="BJ462" i="3"/>
  <c r="BJ461" i="3"/>
  <c r="BJ460" i="3"/>
  <c r="BJ459" i="3"/>
  <c r="BJ458" i="3"/>
  <c r="BJ457" i="3"/>
  <c r="BJ456" i="3"/>
  <c r="BJ455" i="3"/>
  <c r="BJ454" i="3"/>
  <c r="BJ453" i="3"/>
  <c r="BJ452" i="3"/>
  <c r="BJ451" i="3"/>
  <c r="BJ450" i="3"/>
  <c r="BJ449" i="3"/>
  <c r="BJ448" i="3"/>
  <c r="BJ447" i="3"/>
  <c r="BJ446" i="3"/>
  <c r="BJ445" i="3"/>
  <c r="BJ444" i="3"/>
  <c r="BJ443" i="3"/>
  <c r="BJ442" i="3"/>
  <c r="BJ441" i="3"/>
  <c r="BJ440" i="3"/>
  <c r="BJ439" i="3"/>
  <c r="BJ438" i="3"/>
  <c r="BJ437" i="3"/>
  <c r="BJ436" i="3"/>
  <c r="BJ435" i="3"/>
  <c r="BJ434" i="3"/>
  <c r="BJ433" i="3"/>
  <c r="BJ432" i="3"/>
  <c r="BJ431" i="3"/>
  <c r="BJ430" i="3"/>
  <c r="BJ429" i="3"/>
  <c r="BJ428" i="3"/>
  <c r="BJ427" i="3"/>
  <c r="BJ426" i="3"/>
  <c r="BJ425" i="3"/>
  <c r="BJ424" i="3"/>
  <c r="BJ423" i="3"/>
  <c r="BJ422" i="3"/>
  <c r="BJ421" i="3"/>
  <c r="BJ420" i="3"/>
  <c r="BJ419" i="3"/>
  <c r="BJ418" i="3"/>
  <c r="BJ417" i="3"/>
  <c r="BJ416" i="3"/>
  <c r="BJ415" i="3"/>
  <c r="BJ414" i="3"/>
  <c r="BJ413" i="3"/>
  <c r="BJ412" i="3"/>
  <c r="BJ411" i="3"/>
  <c r="BJ410" i="3"/>
  <c r="BJ409" i="3"/>
  <c r="BJ408" i="3"/>
  <c r="BJ407" i="3"/>
  <c r="BJ406" i="3"/>
  <c r="BJ405" i="3"/>
  <c r="BJ404" i="3"/>
  <c r="BJ403" i="3"/>
  <c r="BJ402" i="3"/>
  <c r="BJ401" i="3"/>
  <c r="BJ400" i="3"/>
  <c r="BJ399" i="3"/>
  <c r="BJ398" i="3"/>
  <c r="BJ397" i="3"/>
  <c r="BJ396" i="3"/>
  <c r="BJ395" i="3"/>
  <c r="BJ394" i="3"/>
  <c r="BJ393" i="3"/>
  <c r="BJ392" i="3"/>
  <c r="BJ391" i="3"/>
  <c r="BJ390" i="3"/>
  <c r="BJ389" i="3"/>
  <c r="BJ388" i="3"/>
  <c r="BJ387" i="3"/>
  <c r="BJ386" i="3"/>
  <c r="BJ385" i="3"/>
  <c r="BJ384" i="3"/>
  <c r="BJ383" i="3"/>
  <c r="BJ382" i="3"/>
  <c r="BJ381" i="3"/>
  <c r="BJ380" i="3"/>
  <c r="BJ379" i="3"/>
  <c r="BJ378" i="3"/>
  <c r="BJ377" i="3"/>
  <c r="BJ376" i="3"/>
  <c r="BJ375" i="3"/>
  <c r="BJ374" i="3"/>
  <c r="BJ373" i="3"/>
  <c r="BJ372" i="3"/>
  <c r="BJ371" i="3"/>
  <c r="BJ370" i="3"/>
  <c r="BJ369" i="3"/>
  <c r="BJ368" i="3"/>
  <c r="BJ367" i="3"/>
  <c r="BJ366" i="3"/>
  <c r="BJ365" i="3"/>
  <c r="BJ364" i="3"/>
  <c r="BJ363" i="3"/>
  <c r="BJ362" i="3"/>
  <c r="BJ361" i="3"/>
  <c r="BJ360" i="3"/>
  <c r="BJ359" i="3"/>
  <c r="BJ358" i="3"/>
  <c r="BJ357" i="3"/>
  <c r="BJ356" i="3"/>
  <c r="BJ355" i="3"/>
  <c r="BJ354" i="3"/>
  <c r="BJ353" i="3"/>
  <c r="BJ352" i="3"/>
  <c r="BJ351" i="3"/>
  <c r="BJ350" i="3"/>
  <c r="BJ349" i="3"/>
  <c r="BJ348" i="3"/>
  <c r="BJ347" i="3"/>
  <c r="BJ346" i="3"/>
  <c r="BJ345" i="3"/>
  <c r="BJ344" i="3"/>
  <c r="BJ343" i="3"/>
  <c r="BJ342" i="3"/>
  <c r="BJ341" i="3"/>
  <c r="BJ340" i="3"/>
  <c r="BJ339" i="3"/>
  <c r="BJ338" i="3"/>
  <c r="BJ337" i="3"/>
  <c r="BJ336" i="3"/>
  <c r="BJ335" i="3"/>
  <c r="BJ334" i="3"/>
  <c r="BJ333" i="3"/>
  <c r="BJ332" i="3"/>
  <c r="BJ331" i="3"/>
  <c r="BJ330" i="3"/>
  <c r="BJ329" i="3"/>
  <c r="BJ328" i="3"/>
  <c r="BJ327" i="3"/>
  <c r="BJ326" i="3"/>
  <c r="BJ325" i="3"/>
  <c r="BJ324" i="3"/>
  <c r="BJ323" i="3"/>
  <c r="BJ322" i="3"/>
  <c r="BJ321" i="3"/>
  <c r="BJ320" i="3"/>
  <c r="BJ319" i="3"/>
  <c r="BJ318" i="3"/>
  <c r="BJ317" i="3"/>
  <c r="BJ316" i="3"/>
  <c r="BJ315" i="3"/>
  <c r="BJ314" i="3"/>
  <c r="BJ313" i="3"/>
  <c r="BJ312" i="3"/>
  <c r="BJ311" i="3"/>
  <c r="BJ310" i="3"/>
  <c r="BJ309" i="3"/>
  <c r="BJ308" i="3"/>
  <c r="BJ307" i="3"/>
  <c r="BJ306" i="3"/>
  <c r="BJ305" i="3"/>
  <c r="BJ304" i="3"/>
  <c r="BJ303" i="3"/>
  <c r="BJ302" i="3"/>
  <c r="BJ301" i="3"/>
  <c r="BJ300" i="3"/>
  <c r="BJ299" i="3"/>
  <c r="BJ298" i="3"/>
  <c r="BJ297" i="3"/>
  <c r="BJ296" i="3"/>
  <c r="BJ295" i="3"/>
  <c r="BJ294" i="3"/>
  <c r="BJ293" i="3"/>
  <c r="BJ292" i="3"/>
  <c r="BJ291" i="3"/>
  <c r="BJ290" i="3"/>
  <c r="BJ289" i="3"/>
  <c r="BJ288" i="3"/>
  <c r="BJ287" i="3"/>
  <c r="BJ286" i="3"/>
  <c r="BJ285" i="3"/>
  <c r="BJ284" i="3"/>
  <c r="BJ283" i="3"/>
  <c r="BJ282" i="3"/>
  <c r="BJ281" i="3"/>
  <c r="BJ280" i="3"/>
  <c r="BJ279" i="3"/>
  <c r="BJ278" i="3"/>
  <c r="BJ277" i="3"/>
  <c r="BJ276" i="3"/>
  <c r="BJ275" i="3"/>
  <c r="BJ274" i="3"/>
  <c r="BJ273" i="3"/>
  <c r="BJ272" i="3"/>
  <c r="BJ271" i="3"/>
  <c r="BJ270" i="3"/>
  <c r="BJ269" i="3"/>
  <c r="BJ268" i="3"/>
  <c r="BJ267" i="3"/>
  <c r="BJ266" i="3"/>
  <c r="BJ265" i="3"/>
  <c r="BJ264" i="3"/>
  <c r="BJ263" i="3"/>
  <c r="BJ262" i="3"/>
  <c r="BJ261" i="3"/>
  <c r="BJ260" i="3"/>
  <c r="BJ259" i="3"/>
  <c r="BJ258" i="3"/>
  <c r="BJ257" i="3"/>
  <c r="BJ256" i="3"/>
  <c r="BJ255" i="3"/>
  <c r="BJ254" i="3"/>
  <c r="BJ253" i="3"/>
  <c r="BJ252" i="3"/>
  <c r="BJ251" i="3"/>
  <c r="BJ250" i="3"/>
  <c r="BJ249" i="3"/>
  <c r="BJ248" i="3"/>
  <c r="BJ247" i="3"/>
  <c r="BJ246" i="3"/>
  <c r="BJ245" i="3"/>
  <c r="BJ244" i="3"/>
  <c r="BJ243" i="3"/>
  <c r="BJ242" i="3"/>
  <c r="BJ241" i="3"/>
  <c r="BJ240" i="3"/>
  <c r="BJ239" i="3"/>
  <c r="BJ238" i="3"/>
  <c r="BJ237" i="3"/>
  <c r="BJ236" i="3"/>
  <c r="BJ235" i="3"/>
  <c r="BJ234" i="3"/>
  <c r="BJ233" i="3"/>
  <c r="BJ232" i="3"/>
  <c r="BJ231" i="3"/>
  <c r="BJ230" i="3"/>
  <c r="BJ229" i="3"/>
  <c r="BJ228" i="3"/>
  <c r="BJ227" i="3"/>
  <c r="BJ226" i="3"/>
  <c r="BJ225" i="3"/>
  <c r="BJ224" i="3"/>
  <c r="BJ223" i="3"/>
  <c r="BJ222" i="3"/>
  <c r="BJ221" i="3"/>
  <c r="BJ220" i="3"/>
  <c r="BJ219" i="3"/>
  <c r="BJ218" i="3"/>
  <c r="BJ217" i="3"/>
  <c r="BJ216" i="3"/>
  <c r="BJ215" i="3"/>
  <c r="BJ214" i="3"/>
  <c r="BJ213" i="3"/>
  <c r="BJ212" i="3"/>
  <c r="BJ211" i="3"/>
  <c r="BJ210" i="3"/>
  <c r="BJ209" i="3"/>
  <c r="BJ208" i="3"/>
  <c r="BJ207" i="3"/>
  <c r="BJ206" i="3"/>
  <c r="BJ205" i="3"/>
  <c r="BJ204" i="3"/>
  <c r="BJ203" i="3"/>
  <c r="BJ202" i="3"/>
  <c r="BJ201" i="3"/>
  <c r="BJ200" i="3"/>
  <c r="BJ199" i="3"/>
  <c r="BJ198" i="3"/>
  <c r="BJ197" i="3"/>
  <c r="BJ196" i="3"/>
  <c r="BJ195" i="3"/>
  <c r="BJ194" i="3"/>
  <c r="BJ193" i="3"/>
  <c r="BJ192" i="3"/>
  <c r="BJ191" i="3"/>
  <c r="BJ190" i="3"/>
  <c r="BJ189" i="3"/>
  <c r="BJ188" i="3"/>
  <c r="BJ187" i="3"/>
  <c r="BJ186" i="3"/>
  <c r="BJ185" i="3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172" i="3"/>
  <c r="BJ171" i="3"/>
  <c r="BJ170" i="3"/>
  <c r="BJ169" i="3"/>
  <c r="BJ168" i="3"/>
  <c r="BJ167" i="3"/>
  <c r="BJ166" i="3"/>
  <c r="BJ165" i="3"/>
  <c r="BJ164" i="3"/>
  <c r="BJ163" i="3"/>
  <c r="BJ162" i="3"/>
  <c r="BJ161" i="3"/>
  <c r="BJ160" i="3"/>
  <c r="BJ159" i="3"/>
  <c r="BJ158" i="3"/>
  <c r="BJ157" i="3"/>
  <c r="BJ156" i="3"/>
  <c r="BJ155" i="3"/>
  <c r="BJ154" i="3"/>
  <c r="BJ153" i="3"/>
  <c r="BJ152" i="3"/>
  <c r="BJ151" i="3"/>
  <c r="BJ150" i="3"/>
  <c r="BJ149" i="3"/>
  <c r="BJ148" i="3"/>
  <c r="BJ147" i="3"/>
  <c r="BJ146" i="3"/>
  <c r="BJ145" i="3"/>
  <c r="BJ144" i="3"/>
  <c r="BJ143" i="3"/>
  <c r="B143" i="3"/>
  <c r="BJ142" i="3"/>
  <c r="BJ141" i="3"/>
  <c r="B141" i="3"/>
  <c r="BJ140" i="3"/>
  <c r="BJ139" i="3"/>
  <c r="BJ138" i="3"/>
  <c r="B138" i="3"/>
  <c r="BJ137" i="3"/>
  <c r="BJ136" i="3"/>
  <c r="BJ135" i="3"/>
  <c r="B135" i="3"/>
  <c r="BJ134" i="3"/>
  <c r="BJ133" i="3"/>
  <c r="BJ132" i="3"/>
  <c r="B132" i="3"/>
  <c r="BJ131" i="3"/>
  <c r="BJ130" i="3"/>
  <c r="BJ129" i="3"/>
  <c r="B129" i="3"/>
  <c r="BJ128" i="3"/>
  <c r="BJ127" i="3"/>
  <c r="BJ126" i="3"/>
  <c r="BJ125" i="3"/>
  <c r="BJ124" i="3"/>
  <c r="BJ123" i="3"/>
  <c r="BJ122" i="3"/>
  <c r="BJ121" i="3"/>
  <c r="BJ120" i="3"/>
  <c r="BJ119" i="3"/>
  <c r="BJ118" i="3"/>
  <c r="BJ117" i="3"/>
  <c r="BJ116" i="3"/>
  <c r="BJ115" i="3"/>
  <c r="BJ114" i="3"/>
  <c r="BJ113" i="3"/>
  <c r="BJ112" i="3"/>
  <c r="BJ111" i="3"/>
  <c r="BJ110" i="3"/>
  <c r="BJ109" i="3"/>
  <c r="BJ10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BJ69" i="3"/>
  <c r="BK68" i="3"/>
  <c r="BJ68" i="3"/>
  <c r="BJ67" i="3"/>
  <c r="BI66" i="3"/>
  <c r="BI203" i="3" s="1"/>
  <c r="BH66" i="3"/>
  <c r="BH203" i="3" s="1"/>
  <c r="BG66" i="3"/>
  <c r="BG203" i="3" s="1"/>
  <c r="BF66" i="3"/>
  <c r="BF203" i="3" s="1"/>
  <c r="BE66" i="3"/>
  <c r="BD66" i="3"/>
  <c r="BC66" i="3"/>
  <c r="BC203" i="3" s="1"/>
  <c r="BB66" i="3"/>
  <c r="BB203" i="3" s="1"/>
  <c r="BA66" i="3"/>
  <c r="BA203" i="3" s="1"/>
  <c r="AZ66" i="3"/>
  <c r="AZ203" i="3" s="1"/>
  <c r="AY66" i="3"/>
  <c r="AY203" i="3" s="1"/>
  <c r="AX66" i="3"/>
  <c r="AX203" i="3" s="1"/>
  <c r="AW66" i="3"/>
  <c r="AV66" i="3"/>
  <c r="AU66" i="3"/>
  <c r="AU203" i="3" s="1"/>
  <c r="AT66" i="3"/>
  <c r="AT203" i="3" s="1"/>
  <c r="AS66" i="3"/>
  <c r="AS203" i="3" s="1"/>
  <c r="AR66" i="3"/>
  <c r="AR203" i="3" s="1"/>
  <c r="AQ66" i="3"/>
  <c r="AQ203" i="3" s="1"/>
  <c r="AP66" i="3"/>
  <c r="AP203" i="3" s="1"/>
  <c r="AO66" i="3"/>
  <c r="AN66" i="3"/>
  <c r="AM66" i="3"/>
  <c r="AM203" i="3" s="1"/>
  <c r="AL66" i="3"/>
  <c r="AL203" i="3" s="1"/>
  <c r="AK66" i="3"/>
  <c r="AK203" i="3" s="1"/>
  <c r="AJ66" i="3"/>
  <c r="AJ203" i="3" s="1"/>
  <c r="AI66" i="3"/>
  <c r="AI203" i="3" s="1"/>
  <c r="AH66" i="3"/>
  <c r="AH203" i="3" s="1"/>
  <c r="AG66" i="3"/>
  <c r="AF66" i="3"/>
  <c r="AE66" i="3"/>
  <c r="AE203" i="3" s="1"/>
  <c r="AD66" i="3"/>
  <c r="AD203" i="3" s="1"/>
  <c r="AC66" i="3"/>
  <c r="AC203" i="3" s="1"/>
  <c r="AB66" i="3"/>
  <c r="AB203" i="3" s="1"/>
  <c r="AA66" i="3"/>
  <c r="AA203" i="3" s="1"/>
  <c r="Z66" i="3"/>
  <c r="Z203" i="3" s="1"/>
  <c r="Y66" i="3"/>
  <c r="X66" i="3"/>
  <c r="W66" i="3"/>
  <c r="W203" i="3" s="1"/>
  <c r="V66" i="3"/>
  <c r="V203" i="3" s="1"/>
  <c r="U66" i="3"/>
  <c r="U203" i="3" s="1"/>
  <c r="T66" i="3"/>
  <c r="T203" i="3" s="1"/>
  <c r="S66" i="3"/>
  <c r="S203" i="3" s="1"/>
  <c r="R66" i="3"/>
  <c r="R203" i="3" s="1"/>
  <c r="Q66" i="3"/>
  <c r="P66" i="3"/>
  <c r="O66" i="3"/>
  <c r="O203" i="3" s="1"/>
  <c r="N66" i="3"/>
  <c r="N203" i="3" s="1"/>
  <c r="M66" i="3"/>
  <c r="M203" i="3" s="1"/>
  <c r="L66" i="3"/>
  <c r="L203" i="3" s="1"/>
  <c r="K66" i="3"/>
  <c r="K203" i="3" s="1"/>
  <c r="J66" i="3"/>
  <c r="J203" i="3" s="1"/>
  <c r="I66" i="3"/>
  <c r="H66" i="3"/>
  <c r="G66" i="3"/>
  <c r="G203" i="3" s="1"/>
  <c r="F66" i="3"/>
  <c r="F203" i="3" s="1"/>
  <c r="E66" i="3"/>
  <c r="E203" i="3" s="1"/>
  <c r="D66" i="3"/>
  <c r="D203" i="3" s="1"/>
  <c r="C66" i="3"/>
  <c r="C203" i="3" s="1"/>
  <c r="B66" i="3"/>
  <c r="BJ65" i="3"/>
  <c r="BJ64" i="3"/>
  <c r="BJ63" i="3"/>
  <c r="BJ62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I47" i="3"/>
  <c r="BH47" i="3"/>
  <c r="BG47" i="3"/>
  <c r="BG46" i="3" s="1"/>
  <c r="BG48" i="3" s="1"/>
  <c r="BF47" i="3"/>
  <c r="BE47" i="3"/>
  <c r="BD47" i="3"/>
  <c r="BD46" i="3" s="1"/>
  <c r="BD48" i="3" s="1"/>
  <c r="BC47" i="3"/>
  <c r="BC46" i="3" s="1"/>
  <c r="BC48" i="3" s="1"/>
  <c r="BB47" i="3"/>
  <c r="BA47" i="3"/>
  <c r="AZ47" i="3"/>
  <c r="AY47" i="3"/>
  <c r="AY46" i="3" s="1"/>
  <c r="AY48" i="3" s="1"/>
  <c r="AX47" i="3"/>
  <c r="AW47" i="3"/>
  <c r="AV47" i="3"/>
  <c r="AV46" i="3" s="1"/>
  <c r="AV48" i="3" s="1"/>
  <c r="AU47" i="3"/>
  <c r="AU46" i="3" s="1"/>
  <c r="AU48" i="3" s="1"/>
  <c r="AT47" i="3"/>
  <c r="AS47" i="3"/>
  <c r="AR47" i="3"/>
  <c r="AQ47" i="3"/>
  <c r="AQ46" i="3" s="1"/>
  <c r="AQ48" i="3" s="1"/>
  <c r="AP47" i="3"/>
  <c r="AO47" i="3"/>
  <c r="AN47" i="3"/>
  <c r="AN46" i="3" s="1"/>
  <c r="AN48" i="3" s="1"/>
  <c r="AM47" i="3"/>
  <c r="AM46" i="3" s="1"/>
  <c r="AM48" i="3" s="1"/>
  <c r="AL47" i="3"/>
  <c r="AK47" i="3"/>
  <c r="AJ47" i="3"/>
  <c r="AI47" i="3"/>
  <c r="AI46" i="3" s="1"/>
  <c r="AI48" i="3" s="1"/>
  <c r="AH47" i="3"/>
  <c r="AG47" i="3"/>
  <c r="AF47" i="3"/>
  <c r="AF46" i="3" s="1"/>
  <c r="AF48" i="3" s="1"/>
  <c r="AE47" i="3"/>
  <c r="AE46" i="3" s="1"/>
  <c r="AE48" i="3" s="1"/>
  <c r="AD47" i="3"/>
  <c r="AC47" i="3"/>
  <c r="AB47" i="3"/>
  <c r="AA47" i="3"/>
  <c r="AA46" i="3" s="1"/>
  <c r="AA48" i="3" s="1"/>
  <c r="Z47" i="3"/>
  <c r="Y47" i="3"/>
  <c r="X47" i="3"/>
  <c r="X46" i="3" s="1"/>
  <c r="X48" i="3" s="1"/>
  <c r="W47" i="3"/>
  <c r="W46" i="3" s="1"/>
  <c r="W48" i="3" s="1"/>
  <c r="V47" i="3"/>
  <c r="U47" i="3"/>
  <c r="T47" i="3"/>
  <c r="S47" i="3"/>
  <c r="S46" i="3" s="1"/>
  <c r="S48" i="3" s="1"/>
  <c r="R47" i="3"/>
  <c r="Q47" i="3"/>
  <c r="P47" i="3"/>
  <c r="P46" i="3" s="1"/>
  <c r="P48" i="3" s="1"/>
  <c r="O47" i="3"/>
  <c r="O46" i="3" s="1"/>
  <c r="O48" i="3" s="1"/>
  <c r="N47" i="3"/>
  <c r="M47" i="3"/>
  <c r="L47" i="3"/>
  <c r="K47" i="3"/>
  <c r="K46" i="3" s="1"/>
  <c r="K48" i="3" s="1"/>
  <c r="J47" i="3"/>
  <c r="I47" i="3"/>
  <c r="H47" i="3"/>
  <c r="H46" i="3" s="1"/>
  <c r="H48" i="3" s="1"/>
  <c r="G47" i="3"/>
  <c r="G46" i="3" s="1"/>
  <c r="G48" i="3" s="1"/>
  <c r="F47" i="3"/>
  <c r="E47" i="3"/>
  <c r="D47" i="3"/>
  <c r="C47" i="3"/>
  <c r="C46" i="3" s="1"/>
  <c r="C48" i="3" s="1"/>
  <c r="B47" i="3"/>
  <c r="BJ46" i="3"/>
  <c r="BI46" i="3"/>
  <c r="BI48" i="3" s="1"/>
  <c r="BH46" i="3"/>
  <c r="BH48" i="3" s="1"/>
  <c r="BF46" i="3"/>
  <c r="BF48" i="3" s="1"/>
  <c r="BE46" i="3"/>
  <c r="BE48" i="3" s="1"/>
  <c r="BB46" i="3"/>
  <c r="BB48" i="3" s="1"/>
  <c r="BA46" i="3"/>
  <c r="BA48" i="3" s="1"/>
  <c r="AZ46" i="3"/>
  <c r="AZ48" i="3" s="1"/>
  <c r="AX46" i="3"/>
  <c r="AX48" i="3" s="1"/>
  <c r="AW46" i="3"/>
  <c r="AW48" i="3" s="1"/>
  <c r="AT46" i="3"/>
  <c r="AT48" i="3" s="1"/>
  <c r="AS46" i="3"/>
  <c r="AS48" i="3" s="1"/>
  <c r="AR46" i="3"/>
  <c r="AR48" i="3" s="1"/>
  <c r="AP46" i="3"/>
  <c r="AP48" i="3" s="1"/>
  <c r="AO46" i="3"/>
  <c r="AO48" i="3" s="1"/>
  <c r="AL46" i="3"/>
  <c r="AL48" i="3" s="1"/>
  <c r="AK46" i="3"/>
  <c r="AK48" i="3" s="1"/>
  <c r="AJ46" i="3"/>
  <c r="AJ48" i="3" s="1"/>
  <c r="AH46" i="3"/>
  <c r="AH48" i="3" s="1"/>
  <c r="AG46" i="3"/>
  <c r="AG48" i="3" s="1"/>
  <c r="AD46" i="3"/>
  <c r="AD48" i="3" s="1"/>
  <c r="AC46" i="3"/>
  <c r="AC48" i="3" s="1"/>
  <c r="AB46" i="3"/>
  <c r="AB48" i="3" s="1"/>
  <c r="Z46" i="3"/>
  <c r="Z48" i="3" s="1"/>
  <c r="Y46" i="3"/>
  <c r="Y48" i="3" s="1"/>
  <c r="V46" i="3"/>
  <c r="V48" i="3" s="1"/>
  <c r="U46" i="3"/>
  <c r="U48" i="3" s="1"/>
  <c r="T46" i="3"/>
  <c r="T48" i="3" s="1"/>
  <c r="R46" i="3"/>
  <c r="R48" i="3" s="1"/>
  <c r="Q46" i="3"/>
  <c r="Q48" i="3" s="1"/>
  <c r="N46" i="3"/>
  <c r="N48" i="3" s="1"/>
  <c r="M46" i="3"/>
  <c r="M48" i="3" s="1"/>
  <c r="L46" i="3"/>
  <c r="L48" i="3" s="1"/>
  <c r="J46" i="3"/>
  <c r="J48" i="3" s="1"/>
  <c r="I46" i="3"/>
  <c r="I48" i="3" s="1"/>
  <c r="F46" i="3"/>
  <c r="F48" i="3" s="1"/>
  <c r="E46" i="3"/>
  <c r="E48" i="3" s="1"/>
  <c r="D46" i="3"/>
  <c r="D48" i="3" s="1"/>
  <c r="B46" i="3"/>
  <c r="A45" i="3"/>
  <c r="BJ45" i="3" s="1"/>
  <c r="BJ44" i="3"/>
  <c r="BJ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BJ40" i="3"/>
  <c r="BI40" i="3"/>
  <c r="BH40" i="3"/>
  <c r="BH43" i="3" s="1"/>
  <c r="BG40" i="3"/>
  <c r="BF40" i="3"/>
  <c r="BE40" i="3"/>
  <c r="BD40" i="3"/>
  <c r="BD43" i="3" s="1"/>
  <c r="BC40" i="3"/>
  <c r="BB40" i="3"/>
  <c r="BA40" i="3"/>
  <c r="AZ40" i="3"/>
  <c r="AZ43" i="3" s="1"/>
  <c r="AY40" i="3"/>
  <c r="AX40" i="3"/>
  <c r="AW40" i="3"/>
  <c r="AV40" i="3"/>
  <c r="AV43" i="3" s="1"/>
  <c r="AU40" i="3"/>
  <c r="AU43" i="3" s="1"/>
  <c r="AT40" i="3"/>
  <c r="AT43" i="3" s="1"/>
  <c r="AS40" i="3"/>
  <c r="AR40" i="3"/>
  <c r="AR43" i="3" s="1"/>
  <c r="AQ40" i="3"/>
  <c r="AP40" i="3"/>
  <c r="AO40" i="3"/>
  <c r="AN40" i="3"/>
  <c r="AN43" i="3" s="1"/>
  <c r="AM40" i="3"/>
  <c r="AM43" i="3" s="1"/>
  <c r="AL40" i="3"/>
  <c r="AK40" i="3"/>
  <c r="AJ40" i="3"/>
  <c r="AJ43" i="3" s="1"/>
  <c r="AI40" i="3"/>
  <c r="AH40" i="3"/>
  <c r="AG40" i="3"/>
  <c r="AF40" i="3"/>
  <c r="AF43" i="3" s="1"/>
  <c r="AE40" i="3"/>
  <c r="AE43" i="3" s="1"/>
  <c r="AD40" i="3"/>
  <c r="AC40" i="3"/>
  <c r="AB40" i="3"/>
  <c r="AB43" i="3" s="1"/>
  <c r="AA40" i="3"/>
  <c r="Z40" i="3"/>
  <c r="Y40" i="3"/>
  <c r="X40" i="3"/>
  <c r="X43" i="3" s="1"/>
  <c r="W40" i="3"/>
  <c r="W43" i="3" s="1"/>
  <c r="V40" i="3"/>
  <c r="U40" i="3"/>
  <c r="T40" i="3"/>
  <c r="T43" i="3" s="1"/>
  <c r="S40" i="3"/>
  <c r="R40" i="3"/>
  <c r="Q40" i="3"/>
  <c r="Q43" i="3" s="1"/>
  <c r="P40" i="3"/>
  <c r="P43" i="3" s="1"/>
  <c r="O40" i="3"/>
  <c r="N40" i="3"/>
  <c r="M40" i="3"/>
  <c r="L40" i="3"/>
  <c r="L43" i="3" s="1"/>
  <c r="K40" i="3"/>
  <c r="J40" i="3"/>
  <c r="I40" i="3"/>
  <c r="I43" i="3" s="1"/>
  <c r="H40" i="3"/>
  <c r="H43" i="3" s="1"/>
  <c r="G40" i="3"/>
  <c r="G43" i="3" s="1"/>
  <c r="F40" i="3"/>
  <c r="F43" i="3" s="1"/>
  <c r="E40" i="3"/>
  <c r="D40" i="3"/>
  <c r="D43" i="3" s="1"/>
  <c r="C40" i="3"/>
  <c r="B40" i="3"/>
  <c r="A39" i="3"/>
  <c r="BJ39" i="3" s="1"/>
  <c r="BJ38" i="3"/>
  <c r="BJ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BJ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J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BJ31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BJ29" i="3"/>
  <c r="BJ28" i="3"/>
  <c r="A28" i="3"/>
  <c r="BJ27" i="3"/>
  <c r="BJ26" i="3"/>
  <c r="BG25" i="3"/>
  <c r="AO25" i="3"/>
  <c r="AA25" i="3"/>
  <c r="K25" i="3"/>
  <c r="BJ24" i="3"/>
  <c r="BI23" i="3"/>
  <c r="BH23" i="3"/>
  <c r="BH25" i="3" s="1"/>
  <c r="BG23" i="3"/>
  <c r="BF23" i="3"/>
  <c r="BE23" i="3"/>
  <c r="BE25" i="3" s="1"/>
  <c r="BD23" i="3"/>
  <c r="BC23" i="3"/>
  <c r="BC25" i="3" s="1"/>
  <c r="BB23" i="3"/>
  <c r="BB25" i="3" s="1"/>
  <c r="BA23" i="3"/>
  <c r="AZ23" i="3"/>
  <c r="AY23" i="3"/>
  <c r="AY25" i="3" s="1"/>
  <c r="AX23" i="3"/>
  <c r="AW23" i="3"/>
  <c r="AW25" i="3" s="1"/>
  <c r="AV23" i="3"/>
  <c r="AU23" i="3"/>
  <c r="AU25" i="3" s="1"/>
  <c r="AT23" i="3"/>
  <c r="AT25" i="3" s="1"/>
  <c r="AS23" i="3"/>
  <c r="AR23" i="3"/>
  <c r="AR25" i="3" s="1"/>
  <c r="AQ23" i="3"/>
  <c r="AQ25" i="3" s="1"/>
  <c r="AP23" i="3"/>
  <c r="AP25" i="3" s="1"/>
  <c r="AO23" i="3"/>
  <c r="AN23" i="3"/>
  <c r="AM23" i="3"/>
  <c r="AM25" i="3" s="1"/>
  <c r="AL23" i="3"/>
  <c r="AL25" i="3" s="1"/>
  <c r="AK23" i="3"/>
  <c r="AJ23" i="3"/>
  <c r="AJ25" i="3" s="1"/>
  <c r="AI23" i="3"/>
  <c r="AI25" i="3" s="1"/>
  <c r="AH23" i="3"/>
  <c r="AG23" i="3"/>
  <c r="AG25" i="3" s="1"/>
  <c r="AF23" i="3"/>
  <c r="AE23" i="3"/>
  <c r="AE25" i="3" s="1"/>
  <c r="AD23" i="3"/>
  <c r="AD25" i="3" s="1"/>
  <c r="AC23" i="3"/>
  <c r="AB23" i="3"/>
  <c r="AB25" i="3" s="1"/>
  <c r="AA23" i="3"/>
  <c r="Z23" i="3"/>
  <c r="Z25" i="3" s="1"/>
  <c r="Y23" i="3"/>
  <c r="Y25" i="3" s="1"/>
  <c r="X23" i="3"/>
  <c r="W23" i="3"/>
  <c r="W25" i="3" s="1"/>
  <c r="V23" i="3"/>
  <c r="V25" i="3" s="1"/>
  <c r="U23" i="3"/>
  <c r="T23" i="3"/>
  <c r="T25" i="3" s="1"/>
  <c r="S23" i="3"/>
  <c r="S25" i="3" s="1"/>
  <c r="R23" i="3"/>
  <c r="Q23" i="3"/>
  <c r="Q25" i="3" s="1"/>
  <c r="P23" i="3"/>
  <c r="O23" i="3"/>
  <c r="O25" i="3" s="1"/>
  <c r="N23" i="3"/>
  <c r="N25" i="3" s="1"/>
  <c r="M23" i="3"/>
  <c r="L23" i="3"/>
  <c r="L25" i="3" s="1"/>
  <c r="K23" i="3"/>
  <c r="J23" i="3"/>
  <c r="I23" i="3"/>
  <c r="I25" i="3" s="1"/>
  <c r="H23" i="3"/>
  <c r="G23" i="3"/>
  <c r="G25" i="3" s="1"/>
  <c r="F23" i="3"/>
  <c r="F25" i="3" s="1"/>
  <c r="E23" i="3"/>
  <c r="D23" i="3"/>
  <c r="D25" i="3" s="1"/>
  <c r="C23" i="3"/>
  <c r="C25" i="3" s="1"/>
  <c r="B23" i="3"/>
  <c r="B25" i="3" s="1"/>
  <c r="BJ22" i="3"/>
  <c r="A21" i="3"/>
  <c r="BJ21" i="3" s="1"/>
  <c r="BJ20" i="3"/>
  <c r="BJ19" i="3"/>
  <c r="BJ18" i="3"/>
  <c r="A18" i="3"/>
  <c r="BJ17" i="3"/>
  <c r="BJ16" i="3"/>
  <c r="BJ15" i="3"/>
  <c r="BJ14" i="3"/>
  <c r="BE13" i="3"/>
  <c r="AO13" i="3"/>
  <c r="R13" i="3"/>
  <c r="BI12" i="3"/>
  <c r="BI13" i="3" s="1"/>
  <c r="BH12" i="3"/>
  <c r="BH13" i="3" s="1"/>
  <c r="BG12" i="3"/>
  <c r="BG13" i="3" s="1"/>
  <c r="BF12" i="3"/>
  <c r="BF13" i="3" s="1"/>
  <c r="BE12" i="3"/>
  <c r="BD12" i="3"/>
  <c r="BD13" i="3" s="1"/>
  <c r="BC12" i="3"/>
  <c r="BC13" i="3" s="1"/>
  <c r="BB12" i="3"/>
  <c r="BB13" i="3" s="1"/>
  <c r="BA12" i="3"/>
  <c r="BA13" i="3" s="1"/>
  <c r="AZ12" i="3"/>
  <c r="AZ13" i="3" s="1"/>
  <c r="AY12" i="3"/>
  <c r="AY13" i="3" s="1"/>
  <c r="AX12" i="3"/>
  <c r="AX13" i="3" s="1"/>
  <c r="AW12" i="3"/>
  <c r="AW13" i="3" s="1"/>
  <c r="AV12" i="3"/>
  <c r="AV13" i="3" s="1"/>
  <c r="AU12" i="3"/>
  <c r="AU13" i="3" s="1"/>
  <c r="AT12" i="3"/>
  <c r="AT13" i="3" s="1"/>
  <c r="AS12" i="3"/>
  <c r="AS13" i="3" s="1"/>
  <c r="AR12" i="3"/>
  <c r="AR13" i="3" s="1"/>
  <c r="AQ12" i="3"/>
  <c r="AQ13" i="3" s="1"/>
  <c r="AP12" i="3"/>
  <c r="AP13" i="3" s="1"/>
  <c r="AO12" i="3"/>
  <c r="AN12" i="3"/>
  <c r="AN13" i="3" s="1"/>
  <c r="AM12" i="3"/>
  <c r="AM13" i="3" s="1"/>
  <c r="AL12" i="3"/>
  <c r="AL13" i="3" s="1"/>
  <c r="AK12" i="3"/>
  <c r="AK13" i="3" s="1"/>
  <c r="AJ12" i="3"/>
  <c r="AJ13" i="3" s="1"/>
  <c r="AI12" i="3"/>
  <c r="AI13" i="3" s="1"/>
  <c r="AH12" i="3"/>
  <c r="AH13" i="3" s="1"/>
  <c r="AG12" i="3"/>
  <c r="AG13" i="3" s="1"/>
  <c r="AF12" i="3"/>
  <c r="AF13" i="3" s="1"/>
  <c r="AE12" i="3"/>
  <c r="AE13" i="3" s="1"/>
  <c r="AD12" i="3"/>
  <c r="AD13" i="3" s="1"/>
  <c r="AC12" i="3"/>
  <c r="AC13" i="3" s="1"/>
  <c r="AB12" i="3"/>
  <c r="AB13" i="3" s="1"/>
  <c r="AA12" i="3"/>
  <c r="AA13" i="3" s="1"/>
  <c r="Z12" i="3"/>
  <c r="Z13" i="3" s="1"/>
  <c r="Y12" i="3"/>
  <c r="Y13" i="3" s="1"/>
  <c r="X12" i="3"/>
  <c r="X13" i="3" s="1"/>
  <c r="W12" i="3"/>
  <c r="W13" i="3" s="1"/>
  <c r="V12" i="3"/>
  <c r="V13" i="3" s="1"/>
  <c r="U12" i="3"/>
  <c r="U13" i="3" s="1"/>
  <c r="T12" i="3"/>
  <c r="T13" i="3" s="1"/>
  <c r="S12" i="3"/>
  <c r="S13" i="3" s="1"/>
  <c r="R12" i="3"/>
  <c r="Q12" i="3"/>
  <c r="Q13" i="3" s="1"/>
  <c r="P12" i="3"/>
  <c r="P13" i="3" s="1"/>
  <c r="O12" i="3"/>
  <c r="O13" i="3" s="1"/>
  <c r="N12" i="3"/>
  <c r="N13" i="3" s="1"/>
  <c r="M12" i="3"/>
  <c r="M13" i="3" s="1"/>
  <c r="L12" i="3"/>
  <c r="L13" i="3" s="1"/>
  <c r="K12" i="3"/>
  <c r="K13" i="3" s="1"/>
  <c r="J12" i="3"/>
  <c r="J13" i="3" s="1"/>
  <c r="I12" i="3"/>
  <c r="I13" i="3" s="1"/>
  <c r="H12" i="3"/>
  <c r="H13" i="3" s="1"/>
  <c r="G12" i="3"/>
  <c r="G13" i="3" s="1"/>
  <c r="F12" i="3"/>
  <c r="F13" i="3" s="1"/>
  <c r="E12" i="3"/>
  <c r="E13" i="3" s="1"/>
  <c r="D12" i="3"/>
  <c r="D13" i="3" s="1"/>
  <c r="C12" i="3"/>
  <c r="C13" i="3" s="1"/>
  <c r="B12" i="3"/>
  <c r="B13" i="3" s="1"/>
  <c r="BJ11" i="3"/>
  <c r="BJ10" i="3"/>
  <c r="BJ9" i="3"/>
  <c r="C8" i="3"/>
  <c r="D8" i="3" s="1"/>
  <c r="B8" i="3"/>
  <c r="BJ7" i="3"/>
  <c r="B7" i="3"/>
  <c r="B6" i="3"/>
  <c r="BJ5" i="3"/>
  <c r="BL4" i="3"/>
  <c r="BL68" i="3" s="1"/>
  <c r="C4" i="3"/>
  <c r="BJ3" i="3"/>
  <c r="C135" i="2"/>
  <c r="C137" i="2" s="1"/>
  <c r="C134" i="2"/>
  <c r="E109" i="2"/>
  <c r="E108" i="2"/>
  <c r="E107" i="2"/>
  <c r="D67" i="2"/>
  <c r="A4" i="1"/>
  <c r="O43" i="3" l="1"/>
  <c r="BC43" i="3"/>
  <c r="C136" i="2"/>
  <c r="E43" i="3"/>
  <c r="M43" i="3"/>
  <c r="U43" i="3"/>
  <c r="AC43" i="3"/>
  <c r="AK43" i="3"/>
  <c r="AS43" i="3"/>
  <c r="BA43" i="3"/>
  <c r="BI43" i="3"/>
  <c r="B43" i="3"/>
  <c r="J43" i="3"/>
  <c r="R43" i="3"/>
  <c r="Z43" i="3"/>
  <c r="AH43" i="3"/>
  <c r="AP43" i="3"/>
  <c r="AX43" i="3"/>
  <c r="BF43" i="3"/>
  <c r="AD43" i="3"/>
  <c r="BB43" i="3"/>
  <c r="C43" i="3"/>
  <c r="K43" i="3"/>
  <c r="S43" i="3"/>
  <c r="AA43" i="3"/>
  <c r="AI43" i="3"/>
  <c r="AQ43" i="3"/>
  <c r="AY43" i="3"/>
  <c r="BG43" i="3"/>
  <c r="C139" i="2"/>
  <c r="C4" i="4" s="1"/>
  <c r="Y43" i="3"/>
  <c r="AG43" i="3"/>
  <c r="AO43" i="3"/>
  <c r="AW43" i="3"/>
  <c r="BE43" i="3"/>
  <c r="J25" i="3"/>
  <c r="R25" i="3"/>
  <c r="AH25" i="3"/>
  <c r="AX25" i="3"/>
  <c r="D7" i="3"/>
  <c r="D71" i="3" s="1"/>
  <c r="D69" i="3" s="1"/>
  <c r="D205" i="3" s="1"/>
  <c r="E8" i="3"/>
  <c r="B5" i="3"/>
  <c r="C6" i="3"/>
  <c r="C7" i="3"/>
  <c r="C71" i="3" s="1"/>
  <c r="C69" i="3" s="1"/>
  <c r="C205" i="3" s="1"/>
  <c r="B203" i="3"/>
  <c r="BF25" i="3"/>
  <c r="D4" i="3"/>
  <c r="N43" i="3"/>
  <c r="V43" i="3"/>
  <c r="AL43" i="3"/>
  <c r="E25" i="3"/>
  <c r="M25" i="3"/>
  <c r="U25" i="3"/>
  <c r="AC25" i="3"/>
  <c r="AK25" i="3"/>
  <c r="AS25" i="3"/>
  <c r="BA25" i="3"/>
  <c r="BI25" i="3"/>
  <c r="AZ25" i="3"/>
  <c r="B48" i="3"/>
  <c r="BM4" i="3"/>
  <c r="B71" i="3"/>
  <c r="H25" i="3"/>
  <c r="P25" i="3"/>
  <c r="X25" i="3"/>
  <c r="AF25" i="3"/>
  <c r="AN25" i="3"/>
  <c r="AV25" i="3"/>
  <c r="BD25" i="3"/>
  <c r="B69" i="3"/>
  <c r="B205" i="3" s="1"/>
  <c r="H203" i="3"/>
  <c r="P203" i="3"/>
  <c r="X203" i="3"/>
  <c r="AF203" i="3"/>
  <c r="AN203" i="3"/>
  <c r="AV203" i="3"/>
  <c r="BD203" i="3"/>
  <c r="I203" i="3"/>
  <c r="Q203" i="3"/>
  <c r="Y203" i="3"/>
  <c r="AG203" i="3"/>
  <c r="AO203" i="3"/>
  <c r="AW203" i="3"/>
  <c r="BE203" i="3"/>
  <c r="B174" i="3"/>
  <c r="B173" i="3"/>
  <c r="B177" i="3" s="1"/>
  <c r="B175" i="3"/>
  <c r="E29" i="4" l="1"/>
  <c r="B187" i="3"/>
  <c r="C172" i="3"/>
  <c r="B9" i="3"/>
  <c r="BM68" i="3"/>
  <c r="BN4" i="3"/>
  <c r="F8" i="3"/>
  <c r="E7" i="3"/>
  <c r="E71" i="3" s="1"/>
  <c r="E69" i="3" s="1"/>
  <c r="E205" i="3" s="1"/>
  <c r="D6" i="3"/>
  <c r="C5" i="3"/>
  <c r="C9" i="3" s="1"/>
  <c r="C19" i="3" s="1"/>
  <c r="B214" i="3"/>
  <c r="E4" i="3"/>
  <c r="E6" i="3" l="1"/>
  <c r="D5" i="3"/>
  <c r="D9" i="3" s="1"/>
  <c r="D19" i="3" s="1"/>
  <c r="G8" i="3"/>
  <c r="F7" i="3"/>
  <c r="F71" i="3" s="1"/>
  <c r="F69" i="3" s="1"/>
  <c r="F205" i="3" s="1"/>
  <c r="B216" i="3"/>
  <c r="C173" i="3"/>
  <c r="C174" i="3"/>
  <c r="C177" i="3" s="1"/>
  <c r="C175" i="3"/>
  <c r="F4" i="3"/>
  <c r="BN68" i="3"/>
  <c r="C68" i="3" s="1"/>
  <c r="BO4" i="3"/>
  <c r="BO68" i="3" s="1"/>
  <c r="B19" i="3"/>
  <c r="B10" i="3"/>
  <c r="C214" i="3" l="1"/>
  <c r="D172" i="3"/>
  <c r="C187" i="3"/>
  <c r="E5" i="3"/>
  <c r="F6" i="3"/>
  <c r="D68" i="3"/>
  <c r="B14" i="3"/>
  <c r="C10" i="3"/>
  <c r="G4" i="3"/>
  <c r="F68" i="3"/>
  <c r="B68" i="3"/>
  <c r="E68" i="3"/>
  <c r="G7" i="3"/>
  <c r="G71" i="3" s="1"/>
  <c r="G69" i="3" s="1"/>
  <c r="G205" i="3" s="1"/>
  <c r="H8" i="3"/>
  <c r="B29" i="3" l="1"/>
  <c r="B31" i="3"/>
  <c r="B33" i="3"/>
  <c r="B57" i="3"/>
  <c r="B35" i="3"/>
  <c r="B24" i="3"/>
  <c r="B22" i="3"/>
  <c r="C216" i="3"/>
  <c r="G6" i="3"/>
  <c r="F5" i="3"/>
  <c r="F9" i="3" s="1"/>
  <c r="F19" i="3" s="1"/>
  <c r="D173" i="3"/>
  <c r="D175" i="3"/>
  <c r="D174" i="3"/>
  <c r="E9" i="3"/>
  <c r="I8" i="3"/>
  <c r="H7" i="3"/>
  <c r="H71" i="3" s="1"/>
  <c r="H69" i="3" s="1"/>
  <c r="H205" i="3" s="1"/>
  <c r="D10" i="3"/>
  <c r="C14" i="3"/>
  <c r="G68" i="3"/>
  <c r="H4" i="3"/>
  <c r="D177" i="3" l="1"/>
  <c r="D187" i="3"/>
  <c r="E172" i="3"/>
  <c r="J8" i="3"/>
  <c r="I7" i="3"/>
  <c r="I71" i="3" s="1"/>
  <c r="I69" i="3" s="1"/>
  <c r="I205" i="3" s="1"/>
  <c r="H6" i="3"/>
  <c r="G5" i="3"/>
  <c r="G9" i="3" s="1"/>
  <c r="G19" i="3" s="1"/>
  <c r="H68" i="3"/>
  <c r="I4" i="3"/>
  <c r="C57" i="3"/>
  <c r="C22" i="3"/>
  <c r="C24" i="3"/>
  <c r="C35" i="3"/>
  <c r="C29" i="3"/>
  <c r="C33" i="3"/>
  <c r="C31" i="3"/>
  <c r="D214" i="3"/>
  <c r="B37" i="3"/>
  <c r="D14" i="3"/>
  <c r="E10" i="3"/>
  <c r="E19" i="3"/>
  <c r="B26" i="3"/>
  <c r="C37" i="3" l="1"/>
  <c r="D57" i="3"/>
  <c r="D31" i="3"/>
  <c r="D33" i="3"/>
  <c r="D35" i="3"/>
  <c r="D22" i="3"/>
  <c r="D29" i="3"/>
  <c r="D24" i="3"/>
  <c r="E14" i="3"/>
  <c r="F10" i="3"/>
  <c r="B51" i="3"/>
  <c r="D216" i="3"/>
  <c r="C26" i="3"/>
  <c r="C51" i="3" s="1"/>
  <c r="I6" i="3"/>
  <c r="H5" i="3"/>
  <c r="J7" i="3"/>
  <c r="J71" i="3" s="1"/>
  <c r="J69" i="3" s="1"/>
  <c r="J205" i="3" s="1"/>
  <c r="K8" i="3"/>
  <c r="I68" i="3"/>
  <c r="J4" i="3"/>
  <c r="E175" i="3"/>
  <c r="E173" i="3"/>
  <c r="E174" i="3"/>
  <c r="E177" i="3" l="1"/>
  <c r="E187" i="3" s="1"/>
  <c r="F172" i="3"/>
  <c r="I5" i="3"/>
  <c r="I9" i="3" s="1"/>
  <c r="I19" i="3" s="1"/>
  <c r="J6" i="3"/>
  <c r="G10" i="3"/>
  <c r="F14" i="3"/>
  <c r="H9" i="3"/>
  <c r="E214" i="3"/>
  <c r="K7" i="3"/>
  <c r="K71" i="3" s="1"/>
  <c r="K69" i="3" s="1"/>
  <c r="K205" i="3" s="1"/>
  <c r="L8" i="3"/>
  <c r="E57" i="3"/>
  <c r="E33" i="3"/>
  <c r="E29" i="3"/>
  <c r="E35" i="3"/>
  <c r="E31" i="3"/>
  <c r="E22" i="3"/>
  <c r="E24" i="3"/>
  <c r="J68" i="3"/>
  <c r="K4" i="3"/>
  <c r="C198" i="3"/>
  <c r="C183" i="3"/>
  <c r="C184" i="3"/>
  <c r="C182" i="3"/>
  <c r="C181" i="3"/>
  <c r="C188" i="3"/>
  <c r="C90" i="3"/>
  <c r="C85" i="3"/>
  <c r="C94" i="3"/>
  <c r="C84" i="3"/>
  <c r="C98" i="3"/>
  <c r="C93" i="3"/>
  <c r="C88" i="3"/>
  <c r="C82" i="3"/>
  <c r="C58" i="3"/>
  <c r="C96" i="3"/>
  <c r="C87" i="3"/>
  <c r="C81" i="3"/>
  <c r="C67" i="3"/>
  <c r="C73" i="3"/>
  <c r="C207" i="3" s="1"/>
  <c r="C91" i="3"/>
  <c r="C59" i="3"/>
  <c r="C56" i="3"/>
  <c r="C72" i="3"/>
  <c r="C206" i="3" s="1"/>
  <c r="C60" i="3"/>
  <c r="C55" i="3"/>
  <c r="D37" i="3"/>
  <c r="B198" i="3"/>
  <c r="B188" i="3"/>
  <c r="B183" i="3"/>
  <c r="B184" i="3"/>
  <c r="B182" i="3"/>
  <c r="B181" i="3"/>
  <c r="B96" i="3"/>
  <c r="B91" i="3"/>
  <c r="B90" i="3"/>
  <c r="B94" i="3"/>
  <c r="B98" i="3"/>
  <c r="B93" i="3"/>
  <c r="B88" i="3"/>
  <c r="B82" i="3"/>
  <c r="B58" i="3"/>
  <c r="B87" i="3"/>
  <c r="B84" i="3"/>
  <c r="B81" i="3"/>
  <c r="B85" i="3"/>
  <c r="B67" i="3"/>
  <c r="B73" i="3"/>
  <c r="B60" i="3"/>
  <c r="B59" i="3"/>
  <c r="B56" i="3"/>
  <c r="B72" i="3"/>
  <c r="B55" i="3"/>
  <c r="D26" i="3"/>
  <c r="C113" i="3" l="1"/>
  <c r="C110" i="3"/>
  <c r="G14" i="3"/>
  <c r="H10" i="3"/>
  <c r="B128" i="3"/>
  <c r="B104" i="3"/>
  <c r="B139" i="3"/>
  <c r="B115" i="3"/>
  <c r="B131" i="3"/>
  <c r="B107" i="3"/>
  <c r="B144" i="3"/>
  <c r="B120" i="3"/>
  <c r="C115" i="3"/>
  <c r="E37" i="3"/>
  <c r="J5" i="3"/>
  <c r="J9" i="3" s="1"/>
  <c r="J19" i="3" s="1"/>
  <c r="K6" i="3"/>
  <c r="D51" i="3"/>
  <c r="F33" i="3"/>
  <c r="F22" i="3"/>
  <c r="F57" i="3"/>
  <c r="F29" i="3"/>
  <c r="F24" i="3"/>
  <c r="F35" i="3"/>
  <c r="F31" i="3"/>
  <c r="B204" i="3"/>
  <c r="B75" i="3"/>
  <c r="BK75" i="3" s="1"/>
  <c r="B206" i="3"/>
  <c r="B127" i="3"/>
  <c r="B103" i="3"/>
  <c r="B140" i="3"/>
  <c r="B116" i="3"/>
  <c r="C204" i="3"/>
  <c r="C75" i="3"/>
  <c r="C120" i="3"/>
  <c r="C103" i="3"/>
  <c r="C106" i="3"/>
  <c r="K68" i="3"/>
  <c r="L4" i="3"/>
  <c r="B207" i="3"/>
  <c r="B63" i="3"/>
  <c r="B130" i="3"/>
  <c r="B106" i="3"/>
  <c r="B112" i="3"/>
  <c r="B136" i="3"/>
  <c r="B133" i="3"/>
  <c r="B109" i="3"/>
  <c r="B113" i="3"/>
  <c r="B137" i="3"/>
  <c r="C109" i="3"/>
  <c r="C116" i="3"/>
  <c r="L7" i="3"/>
  <c r="L71" i="3" s="1"/>
  <c r="L69" i="3" s="1"/>
  <c r="L205" i="3" s="1"/>
  <c r="M8" i="3"/>
  <c r="E216" i="3"/>
  <c r="B134" i="3"/>
  <c r="B110" i="3"/>
  <c r="C104" i="3"/>
  <c r="B118" i="3"/>
  <c r="B142" i="3"/>
  <c r="C63" i="3"/>
  <c r="C118" i="3"/>
  <c r="C107" i="3"/>
  <c r="F175" i="3"/>
  <c r="F174" i="3"/>
  <c r="F173" i="3"/>
  <c r="F177" i="3" s="1"/>
  <c r="C112" i="3"/>
  <c r="E26" i="3"/>
  <c r="E51" i="3" s="1"/>
  <c r="H19" i="3"/>
  <c r="F187" i="3" l="1"/>
  <c r="G172" i="3"/>
  <c r="F26" i="3"/>
  <c r="B164" i="3"/>
  <c r="B156" i="3"/>
  <c r="B152" i="3"/>
  <c r="F214" i="3"/>
  <c r="B161" i="3"/>
  <c r="B186" i="3"/>
  <c r="B185" i="3"/>
  <c r="B199" i="3"/>
  <c r="B62" i="3"/>
  <c r="L68" i="3"/>
  <c r="M4" i="3"/>
  <c r="B159" i="3"/>
  <c r="B122" i="3"/>
  <c r="K5" i="3"/>
  <c r="K9" i="3" s="1"/>
  <c r="L6" i="3"/>
  <c r="B166" i="3"/>
  <c r="B155" i="3"/>
  <c r="D198" i="3"/>
  <c r="D188" i="3"/>
  <c r="D184" i="3"/>
  <c r="D183" i="3"/>
  <c r="D182" i="3"/>
  <c r="D181" i="3"/>
  <c r="D90" i="3"/>
  <c r="D85" i="3"/>
  <c r="D94" i="3"/>
  <c r="D98" i="3"/>
  <c r="D93" i="3"/>
  <c r="D88" i="3"/>
  <c r="D87" i="3"/>
  <c r="D96" i="3"/>
  <c r="D81" i="3"/>
  <c r="D84" i="3"/>
  <c r="D67" i="3"/>
  <c r="D73" i="3"/>
  <c r="D91" i="3"/>
  <c r="D72" i="3"/>
  <c r="D59" i="3"/>
  <c r="D58" i="3"/>
  <c r="D82" i="3"/>
  <c r="D55" i="3"/>
  <c r="D60" i="3"/>
  <c r="D56" i="3"/>
  <c r="B158" i="3"/>
  <c r="B149" i="3"/>
  <c r="B150" i="3"/>
  <c r="B162" i="3"/>
  <c r="F37" i="3"/>
  <c r="I10" i="3"/>
  <c r="H14" i="3"/>
  <c r="E198" i="3"/>
  <c r="E188" i="3"/>
  <c r="E184" i="3"/>
  <c r="E182" i="3"/>
  <c r="E181" i="3"/>
  <c r="E183" i="3"/>
  <c r="E94" i="3"/>
  <c r="E98" i="3"/>
  <c r="E93" i="3"/>
  <c r="E88" i="3"/>
  <c r="E87" i="3"/>
  <c r="E96" i="3"/>
  <c r="E91" i="3"/>
  <c r="E81" i="3"/>
  <c r="E84" i="3"/>
  <c r="E67" i="3"/>
  <c r="E73" i="3"/>
  <c r="E207" i="3" s="1"/>
  <c r="E85" i="3"/>
  <c r="E72" i="3"/>
  <c r="E206" i="3" s="1"/>
  <c r="E58" i="3"/>
  <c r="E56" i="3"/>
  <c r="E90" i="3"/>
  <c r="E82" i="3"/>
  <c r="E55" i="3"/>
  <c r="E60" i="3"/>
  <c r="E59" i="3"/>
  <c r="M7" i="3"/>
  <c r="M71" i="3" s="1"/>
  <c r="M69" i="3" s="1"/>
  <c r="M205" i="3" s="1"/>
  <c r="N8" i="3"/>
  <c r="C199" i="3"/>
  <c r="C200" i="3" s="1"/>
  <c r="C186" i="3"/>
  <c r="C185" i="3"/>
  <c r="C190" i="3" s="1"/>
  <c r="C62" i="3"/>
  <c r="C122" i="3"/>
  <c r="C235" i="3" s="1"/>
  <c r="B153" i="3"/>
  <c r="G57" i="3"/>
  <c r="G35" i="3"/>
  <c r="G31" i="3"/>
  <c r="G22" i="3"/>
  <c r="G24" i="3"/>
  <c r="G33" i="3"/>
  <c r="G29" i="3"/>
  <c r="C133" i="3" l="1"/>
  <c r="C136" i="3"/>
  <c r="D206" i="3"/>
  <c r="D109" i="3"/>
  <c r="B235" i="3"/>
  <c r="C139" i="3"/>
  <c r="G26" i="3"/>
  <c r="E110" i="3"/>
  <c r="D113" i="3"/>
  <c r="D110" i="3"/>
  <c r="C142" i="3"/>
  <c r="D63" i="3"/>
  <c r="D120" i="3"/>
  <c r="B190" i="3"/>
  <c r="C192" i="3" s="1"/>
  <c r="E109" i="3"/>
  <c r="E204" i="3"/>
  <c r="E75" i="3"/>
  <c r="C137" i="3"/>
  <c r="E120" i="3"/>
  <c r="E116" i="3"/>
  <c r="D106" i="3"/>
  <c r="D116" i="3"/>
  <c r="M6" i="3"/>
  <c r="L5" i="3"/>
  <c r="L9" i="3" s="1"/>
  <c r="L19" i="3" s="1"/>
  <c r="C130" i="3"/>
  <c r="F51" i="3"/>
  <c r="E107" i="3"/>
  <c r="E115" i="3"/>
  <c r="F216" i="3"/>
  <c r="E106" i="3"/>
  <c r="C144" i="3"/>
  <c r="E112" i="3"/>
  <c r="E63" i="3"/>
  <c r="E103" i="3"/>
  <c r="H35" i="3"/>
  <c r="H57" i="3"/>
  <c r="H31" i="3"/>
  <c r="H29" i="3"/>
  <c r="H33" i="3"/>
  <c r="H22" i="3"/>
  <c r="H26" i="3" s="1"/>
  <c r="H24" i="3"/>
  <c r="D104" i="3"/>
  <c r="D107" i="3"/>
  <c r="K19" i="3"/>
  <c r="D115" i="3"/>
  <c r="D204" i="3"/>
  <c r="D75" i="3"/>
  <c r="C131" i="3"/>
  <c r="O8" i="3"/>
  <c r="N7" i="3"/>
  <c r="N71" i="3" s="1"/>
  <c r="N69" i="3" s="1"/>
  <c r="N205" i="3" s="1"/>
  <c r="E113" i="3"/>
  <c r="I14" i="3"/>
  <c r="J10" i="3"/>
  <c r="C140" i="3"/>
  <c r="B168" i="3"/>
  <c r="C127" i="3"/>
  <c r="D103" i="3"/>
  <c r="D112" i="3"/>
  <c r="M68" i="3"/>
  <c r="N4" i="3"/>
  <c r="G175" i="3"/>
  <c r="G214" i="3" s="1"/>
  <c r="G216" i="3" s="1"/>
  <c r="G174" i="3"/>
  <c r="G173" i="3"/>
  <c r="G177" i="3" s="1"/>
  <c r="C128" i="3"/>
  <c r="D207" i="3"/>
  <c r="B200" i="3"/>
  <c r="E104" i="3"/>
  <c r="G37" i="3"/>
  <c r="E118" i="3"/>
  <c r="D118" i="3"/>
  <c r="C134" i="3"/>
  <c r="G187" i="3" l="1"/>
  <c r="H172" i="3"/>
  <c r="C156" i="3"/>
  <c r="D122" i="3"/>
  <c r="J14" i="3"/>
  <c r="K10" i="3"/>
  <c r="E122" i="3"/>
  <c r="E235" i="3" s="1"/>
  <c r="I57" i="3"/>
  <c r="I33" i="3"/>
  <c r="I22" i="3"/>
  <c r="I24" i="3"/>
  <c r="I35" i="3"/>
  <c r="I31" i="3"/>
  <c r="I29" i="3"/>
  <c r="I37" i="3" s="1"/>
  <c r="F198" i="3"/>
  <c r="F188" i="3"/>
  <c r="F184" i="3"/>
  <c r="F182" i="3"/>
  <c r="F181" i="3"/>
  <c r="F183" i="3"/>
  <c r="F84" i="3"/>
  <c r="F98" i="3"/>
  <c r="F93" i="3"/>
  <c r="F88" i="3"/>
  <c r="F87" i="3"/>
  <c r="F96" i="3"/>
  <c r="F91" i="3"/>
  <c r="F67" i="3"/>
  <c r="F73" i="3"/>
  <c r="F60" i="3"/>
  <c r="F94" i="3"/>
  <c r="F85" i="3"/>
  <c r="F72" i="3"/>
  <c r="F90" i="3"/>
  <c r="F82" i="3"/>
  <c r="F58" i="3"/>
  <c r="F56" i="3"/>
  <c r="F81" i="3"/>
  <c r="F59" i="3"/>
  <c r="F55" i="3"/>
  <c r="G51" i="3"/>
  <c r="N68" i="3"/>
  <c r="O4" i="3"/>
  <c r="C149" i="3"/>
  <c r="E185" i="3"/>
  <c r="E199" i="3"/>
  <c r="E200" i="3" s="1"/>
  <c r="E186" i="3"/>
  <c r="E62" i="3"/>
  <c r="C150" i="3"/>
  <c r="H37" i="3"/>
  <c r="H51" i="3" s="1"/>
  <c r="D199" i="3"/>
  <c r="D186" i="3"/>
  <c r="D185" i="3"/>
  <c r="D62" i="3"/>
  <c r="C158" i="3"/>
  <c r="C152" i="3"/>
  <c r="C164" i="3"/>
  <c r="C161" i="3"/>
  <c r="B224" i="3"/>
  <c r="B208" i="3"/>
  <c r="C166" i="3"/>
  <c r="C162" i="3"/>
  <c r="O7" i="3"/>
  <c r="O71" i="3" s="1"/>
  <c r="O69" i="3" s="1"/>
  <c r="O205" i="3" s="1"/>
  <c r="P8" i="3"/>
  <c r="M5" i="3"/>
  <c r="M9" i="3" s="1"/>
  <c r="M19" i="3" s="1"/>
  <c r="N6" i="3"/>
  <c r="B192" i="3"/>
  <c r="C155" i="3"/>
  <c r="C153" i="3"/>
  <c r="C159" i="3"/>
  <c r="H188" i="3" l="1"/>
  <c r="H184" i="3"/>
  <c r="H198" i="3"/>
  <c r="H181" i="3"/>
  <c r="H183" i="3"/>
  <c r="H182" i="3"/>
  <c r="H87" i="3"/>
  <c r="H96" i="3"/>
  <c r="H91" i="3"/>
  <c r="H90" i="3"/>
  <c r="H85" i="3"/>
  <c r="H94" i="3"/>
  <c r="H88" i="3"/>
  <c r="H72" i="3"/>
  <c r="H206" i="3" s="1"/>
  <c r="H59" i="3"/>
  <c r="H93" i="3"/>
  <c r="H82" i="3"/>
  <c r="H81" i="3"/>
  <c r="H67" i="3"/>
  <c r="H98" i="3"/>
  <c r="H55" i="3"/>
  <c r="H73" i="3"/>
  <c r="H207" i="3" s="1"/>
  <c r="H60" i="3"/>
  <c r="H58" i="3"/>
  <c r="H56" i="3"/>
  <c r="H84" i="3"/>
  <c r="D128" i="3"/>
  <c r="G188" i="3"/>
  <c r="G184" i="3"/>
  <c r="G198" i="3"/>
  <c r="G181" i="3"/>
  <c r="G183" i="3"/>
  <c r="G182" i="3"/>
  <c r="G98" i="3"/>
  <c r="G93" i="3"/>
  <c r="G88" i="3"/>
  <c r="G96" i="3"/>
  <c r="G91" i="3"/>
  <c r="G90" i="3"/>
  <c r="G85" i="3"/>
  <c r="G87" i="3"/>
  <c r="G84" i="3"/>
  <c r="G73" i="3"/>
  <c r="G207" i="3" s="1"/>
  <c r="G60" i="3"/>
  <c r="G94" i="3"/>
  <c r="G72" i="3"/>
  <c r="G206" i="3" s="1"/>
  <c r="G82" i="3"/>
  <c r="G56" i="3"/>
  <c r="G67" i="3"/>
  <c r="G55" i="3"/>
  <c r="G81" i="3"/>
  <c r="G59" i="3"/>
  <c r="G58" i="3"/>
  <c r="F63" i="3"/>
  <c r="F207" i="3"/>
  <c r="F106" i="3"/>
  <c r="Q8" i="3"/>
  <c r="P7" i="3"/>
  <c r="P71" i="3" s="1"/>
  <c r="P69" i="3" s="1"/>
  <c r="P205" i="3" s="1"/>
  <c r="B209" i="3"/>
  <c r="F204" i="3"/>
  <c r="F75" i="3"/>
  <c r="L10" i="3"/>
  <c r="K14" i="3"/>
  <c r="D131" i="3"/>
  <c r="D190" i="3"/>
  <c r="F104" i="3"/>
  <c r="F113" i="3"/>
  <c r="J29" i="3"/>
  <c r="J31" i="3"/>
  <c r="J33" i="3"/>
  <c r="J57" i="3"/>
  <c r="J35" i="3"/>
  <c r="J22" i="3"/>
  <c r="J26" i="3" s="1"/>
  <c r="J24" i="3"/>
  <c r="D134" i="3"/>
  <c r="F112" i="3"/>
  <c r="F118" i="3"/>
  <c r="D140" i="3"/>
  <c r="D139" i="3"/>
  <c r="D130" i="3"/>
  <c r="D200" i="3"/>
  <c r="C168" i="3"/>
  <c r="D127" i="3"/>
  <c r="F206" i="3"/>
  <c r="F109" i="3"/>
  <c r="I26" i="3"/>
  <c r="I51" i="3" s="1"/>
  <c r="D235" i="3"/>
  <c r="D133" i="3"/>
  <c r="E190" i="3"/>
  <c r="E192" i="3" s="1"/>
  <c r="F107" i="3"/>
  <c r="F110" i="3"/>
  <c r="D142" i="3"/>
  <c r="D136" i="3"/>
  <c r="O68" i="3"/>
  <c r="P4" i="3"/>
  <c r="F116" i="3"/>
  <c r="F115" i="3"/>
  <c r="H175" i="3"/>
  <c r="H214" i="3" s="1"/>
  <c r="H216" i="3" s="1"/>
  <c r="H174" i="3"/>
  <c r="H173" i="3"/>
  <c r="D137" i="3"/>
  <c r="O6" i="3"/>
  <c r="N5" i="3"/>
  <c r="N9" i="3" s="1"/>
  <c r="N19" i="3" s="1"/>
  <c r="D144" i="3"/>
  <c r="F103" i="3"/>
  <c r="F120" i="3"/>
  <c r="H177" i="3" l="1"/>
  <c r="H187" i="3"/>
  <c r="I172" i="3"/>
  <c r="P6" i="3"/>
  <c r="O5" i="3"/>
  <c r="O9" i="3" s="1"/>
  <c r="O19" i="3" s="1"/>
  <c r="P68" i="3"/>
  <c r="Q4" i="3"/>
  <c r="J37" i="3"/>
  <c r="J51" i="3" s="1"/>
  <c r="G116" i="3"/>
  <c r="G118" i="3"/>
  <c r="H115" i="3"/>
  <c r="H118" i="3"/>
  <c r="D156" i="3"/>
  <c r="D192" i="3"/>
  <c r="G103" i="3"/>
  <c r="G110" i="3"/>
  <c r="H109" i="3"/>
  <c r="D158" i="3"/>
  <c r="D152" i="3"/>
  <c r="G115" i="3"/>
  <c r="D150" i="3"/>
  <c r="D159" i="3"/>
  <c r="F122" i="3"/>
  <c r="I198" i="3"/>
  <c r="I184" i="3"/>
  <c r="I183" i="3"/>
  <c r="I188" i="3"/>
  <c r="I182" i="3"/>
  <c r="I181" i="3"/>
  <c r="I87" i="3"/>
  <c r="I96" i="3"/>
  <c r="I91" i="3"/>
  <c r="I90" i="3"/>
  <c r="I85" i="3"/>
  <c r="I94" i="3"/>
  <c r="I84" i="3"/>
  <c r="I72" i="3"/>
  <c r="I59" i="3"/>
  <c r="I93" i="3"/>
  <c r="I82" i="3"/>
  <c r="I81" i="3"/>
  <c r="I98" i="3"/>
  <c r="I67" i="3"/>
  <c r="I55" i="3"/>
  <c r="I88" i="3"/>
  <c r="I58" i="3"/>
  <c r="I60" i="3"/>
  <c r="I56" i="3"/>
  <c r="I73" i="3"/>
  <c r="D149" i="3"/>
  <c r="G106" i="3"/>
  <c r="G120" i="3"/>
  <c r="H110" i="3"/>
  <c r="D161" i="3"/>
  <c r="D153" i="3"/>
  <c r="B211" i="3"/>
  <c r="G204" i="3"/>
  <c r="G75" i="3"/>
  <c r="G109" i="3"/>
  <c r="H120" i="3"/>
  <c r="H116" i="3"/>
  <c r="D164" i="3"/>
  <c r="C224" i="3"/>
  <c r="C208" i="3"/>
  <c r="D162" i="3"/>
  <c r="K57" i="3"/>
  <c r="K22" i="3"/>
  <c r="K35" i="3"/>
  <c r="K24" i="3"/>
  <c r="K31" i="3"/>
  <c r="K29" i="3"/>
  <c r="K33" i="3"/>
  <c r="G63" i="3"/>
  <c r="G107" i="3"/>
  <c r="H106" i="3"/>
  <c r="H204" i="3"/>
  <c r="H75" i="3"/>
  <c r="H107" i="3"/>
  <c r="D166" i="3"/>
  <c r="D155" i="3"/>
  <c r="L14" i="3"/>
  <c r="M10" i="3"/>
  <c r="F185" i="3"/>
  <c r="F199" i="3"/>
  <c r="F186" i="3"/>
  <c r="F62" i="3"/>
  <c r="G104" i="3"/>
  <c r="G112" i="3"/>
  <c r="H63" i="3"/>
  <c r="H103" i="3"/>
  <c r="H112" i="3"/>
  <c r="R8" i="3"/>
  <c r="Q7" i="3"/>
  <c r="Q71" i="3" s="1"/>
  <c r="Q69" i="3" s="1"/>
  <c r="Q205" i="3" s="1"/>
  <c r="G113" i="3"/>
  <c r="H104" i="3"/>
  <c r="H113" i="3"/>
  <c r="H199" i="3" l="1"/>
  <c r="H200" i="3" s="1"/>
  <c r="H186" i="3"/>
  <c r="H185" i="3"/>
  <c r="H62" i="3"/>
  <c r="E133" i="3"/>
  <c r="C209" i="3"/>
  <c r="I63" i="3"/>
  <c r="I103" i="3"/>
  <c r="I112" i="3"/>
  <c r="G122" i="3"/>
  <c r="G235" i="3" s="1"/>
  <c r="E131" i="3"/>
  <c r="I104" i="3"/>
  <c r="I113" i="3"/>
  <c r="E128" i="3"/>
  <c r="E136" i="3"/>
  <c r="I115" i="3"/>
  <c r="I118" i="3"/>
  <c r="Q68" i="3"/>
  <c r="R4" i="3"/>
  <c r="F200" i="3"/>
  <c r="M14" i="3"/>
  <c r="N10" i="3"/>
  <c r="E144" i="3"/>
  <c r="K26" i="3"/>
  <c r="E142" i="3"/>
  <c r="I110" i="3"/>
  <c r="I109" i="3"/>
  <c r="L57" i="3"/>
  <c r="L31" i="3"/>
  <c r="L33" i="3"/>
  <c r="L35" i="3"/>
  <c r="L29" i="3"/>
  <c r="L24" i="3"/>
  <c r="L22" i="3"/>
  <c r="J198" i="3"/>
  <c r="J188" i="3"/>
  <c r="J184" i="3"/>
  <c r="J183" i="3"/>
  <c r="J182" i="3"/>
  <c r="J181" i="3"/>
  <c r="J96" i="3"/>
  <c r="J91" i="3"/>
  <c r="J90" i="3"/>
  <c r="J94" i="3"/>
  <c r="J98" i="3"/>
  <c r="J93" i="3"/>
  <c r="J88" i="3"/>
  <c r="J85" i="3"/>
  <c r="J82" i="3"/>
  <c r="J58" i="3"/>
  <c r="J81" i="3"/>
  <c r="J67" i="3"/>
  <c r="J73" i="3"/>
  <c r="J207" i="3" s="1"/>
  <c r="J87" i="3"/>
  <c r="J84" i="3"/>
  <c r="J60" i="3"/>
  <c r="J59" i="3"/>
  <c r="J72" i="3"/>
  <c r="J206" i="3" s="1"/>
  <c r="J56" i="3"/>
  <c r="J55" i="3"/>
  <c r="I206" i="3"/>
  <c r="F190" i="3"/>
  <c r="G199" i="3"/>
  <c r="G200" i="3" s="1"/>
  <c r="G185" i="3"/>
  <c r="G186" i="3"/>
  <c r="G62" i="3"/>
  <c r="E139" i="3"/>
  <c r="I106" i="3"/>
  <c r="F235" i="3"/>
  <c r="E134" i="3"/>
  <c r="Q6" i="3"/>
  <c r="P5" i="3"/>
  <c r="P9" i="3" s="1"/>
  <c r="P19" i="3" s="1"/>
  <c r="S8" i="3"/>
  <c r="R7" i="3"/>
  <c r="R71" i="3" s="1"/>
  <c r="R69" i="3" s="1"/>
  <c r="R205" i="3" s="1"/>
  <c r="E140" i="3"/>
  <c r="B218" i="3"/>
  <c r="D168" i="3"/>
  <c r="E127" i="3"/>
  <c r="I204" i="3"/>
  <c r="I75" i="3"/>
  <c r="I116" i="3"/>
  <c r="I174" i="3"/>
  <c r="I173" i="3"/>
  <c r="I177" i="3" s="1"/>
  <c r="I175" i="3"/>
  <c r="I214" i="3" s="1"/>
  <c r="I216" i="3" s="1"/>
  <c r="H122" i="3"/>
  <c r="H235" i="3" s="1"/>
  <c r="K37" i="3"/>
  <c r="I207" i="3"/>
  <c r="I120" i="3"/>
  <c r="I107" i="3"/>
  <c r="E137" i="3"/>
  <c r="E130" i="3"/>
  <c r="L37" i="3" l="1"/>
  <c r="L26" i="3"/>
  <c r="L51" i="3" s="1"/>
  <c r="L188" i="3" s="1"/>
  <c r="E162" i="3"/>
  <c r="J107" i="3"/>
  <c r="E166" i="3"/>
  <c r="E150" i="3"/>
  <c r="E155" i="3"/>
  <c r="I187" i="3"/>
  <c r="J172" i="3"/>
  <c r="G190" i="3"/>
  <c r="G192" i="3" s="1"/>
  <c r="J106" i="3"/>
  <c r="J110" i="3"/>
  <c r="O10" i="3"/>
  <c r="N14" i="3"/>
  <c r="I122" i="3"/>
  <c r="I235" i="3" s="1"/>
  <c r="L198" i="3"/>
  <c r="L184" i="3"/>
  <c r="L183" i="3"/>
  <c r="L182" i="3"/>
  <c r="L181" i="3"/>
  <c r="L90" i="3"/>
  <c r="L85" i="3"/>
  <c r="L94" i="3"/>
  <c r="L98" i="3"/>
  <c r="L93" i="3"/>
  <c r="L88" i="3"/>
  <c r="L87" i="3"/>
  <c r="L81" i="3"/>
  <c r="L67" i="3"/>
  <c r="L91" i="3"/>
  <c r="L73" i="3"/>
  <c r="L207" i="3" s="1"/>
  <c r="L84" i="3"/>
  <c r="L72" i="3"/>
  <c r="L206" i="3" s="1"/>
  <c r="L60" i="3"/>
  <c r="L59" i="3"/>
  <c r="L58" i="3"/>
  <c r="L55" i="3"/>
  <c r="L96" i="3"/>
  <c r="L82" i="3"/>
  <c r="L56" i="3"/>
  <c r="J109" i="3"/>
  <c r="J115" i="3"/>
  <c r="M57" i="3"/>
  <c r="M33" i="3"/>
  <c r="M29" i="3"/>
  <c r="M22" i="3"/>
  <c r="M26" i="3" s="1"/>
  <c r="M35" i="3"/>
  <c r="M31" i="3"/>
  <c r="M24" i="3"/>
  <c r="E153" i="3"/>
  <c r="J118" i="3"/>
  <c r="E152" i="3"/>
  <c r="E149" i="3"/>
  <c r="T8" i="3"/>
  <c r="S7" i="3"/>
  <c r="S71" i="3" s="1"/>
  <c r="S69" i="3" s="1"/>
  <c r="S205" i="3" s="1"/>
  <c r="F192" i="3"/>
  <c r="J120" i="3"/>
  <c r="I199" i="3"/>
  <c r="I200" i="3" s="1"/>
  <c r="I186" i="3"/>
  <c r="I185" i="3"/>
  <c r="I62" i="3"/>
  <c r="H190" i="3"/>
  <c r="H192" i="3" s="1"/>
  <c r="E156" i="3"/>
  <c r="J104" i="3"/>
  <c r="D224" i="3"/>
  <c r="D208" i="3"/>
  <c r="J204" i="3"/>
  <c r="J75" i="3"/>
  <c r="J116" i="3"/>
  <c r="E159" i="3"/>
  <c r="B219" i="3"/>
  <c r="B220" i="3" s="1"/>
  <c r="R6" i="3"/>
  <c r="Q5" i="3"/>
  <c r="Q9" i="3" s="1"/>
  <c r="Q19" i="3" s="1"/>
  <c r="J63" i="3"/>
  <c r="J103" i="3"/>
  <c r="J112" i="3"/>
  <c r="E164" i="3"/>
  <c r="R68" i="3"/>
  <c r="S4" i="3"/>
  <c r="C211" i="3"/>
  <c r="E161" i="3"/>
  <c r="J113" i="3"/>
  <c r="K51" i="3"/>
  <c r="E158" i="3"/>
  <c r="I190" i="3" l="1"/>
  <c r="I192" i="3" s="1"/>
  <c r="R5" i="3"/>
  <c r="R9" i="3" s="1"/>
  <c r="R19" i="3" s="1"/>
  <c r="S6" i="3"/>
  <c r="M37" i="3"/>
  <c r="M51" i="3" s="1"/>
  <c r="T7" i="3"/>
  <c r="T71" i="3" s="1"/>
  <c r="T69" i="3" s="1"/>
  <c r="T205" i="3" s="1"/>
  <c r="U8" i="3"/>
  <c r="L63" i="3"/>
  <c r="F133" i="3"/>
  <c r="F136" i="3"/>
  <c r="F131" i="3"/>
  <c r="F140" i="3"/>
  <c r="D209" i="3"/>
  <c r="K198" i="3"/>
  <c r="K184" i="3"/>
  <c r="K183" i="3"/>
  <c r="K188" i="3"/>
  <c r="K182" i="3"/>
  <c r="K181" i="3"/>
  <c r="K90" i="3"/>
  <c r="K85" i="3"/>
  <c r="K94" i="3"/>
  <c r="L116" i="3" s="1"/>
  <c r="K84" i="3"/>
  <c r="K98" i="3"/>
  <c r="K93" i="3"/>
  <c r="L115" i="3" s="1"/>
  <c r="K88" i="3"/>
  <c r="L110" i="3" s="1"/>
  <c r="K82" i="3"/>
  <c r="L104" i="3" s="1"/>
  <c r="K58" i="3"/>
  <c r="K81" i="3"/>
  <c r="K67" i="3"/>
  <c r="K91" i="3"/>
  <c r="L113" i="3" s="1"/>
  <c r="K73" i="3"/>
  <c r="K87" i="3"/>
  <c r="L109" i="3" s="1"/>
  <c r="K60" i="3"/>
  <c r="K72" i="3"/>
  <c r="K56" i="3"/>
  <c r="K55" i="3"/>
  <c r="K59" i="3"/>
  <c r="K96" i="3"/>
  <c r="E168" i="3"/>
  <c r="F127" i="3"/>
  <c r="F128" i="3"/>
  <c r="B223" i="3"/>
  <c r="C218" i="3"/>
  <c r="J122" i="3"/>
  <c r="F134" i="3"/>
  <c r="L204" i="3"/>
  <c r="L75" i="3"/>
  <c r="L107" i="3"/>
  <c r="F139" i="3"/>
  <c r="F137" i="3"/>
  <c r="F130" i="3"/>
  <c r="L112" i="3"/>
  <c r="N33" i="3"/>
  <c r="N29" i="3"/>
  <c r="N22" i="3"/>
  <c r="N57" i="3"/>
  <c r="N35" i="3"/>
  <c r="N24" i="3"/>
  <c r="N31" i="3"/>
  <c r="F144" i="3"/>
  <c r="F142" i="3"/>
  <c r="S68" i="3"/>
  <c r="T4" i="3"/>
  <c r="J199" i="3"/>
  <c r="J186" i="3"/>
  <c r="J185" i="3"/>
  <c r="J62" i="3"/>
  <c r="L103" i="3"/>
  <c r="O14" i="3"/>
  <c r="P10" i="3"/>
  <c r="J174" i="3"/>
  <c r="J173" i="3"/>
  <c r="J177" i="3"/>
  <c r="J175" i="3"/>
  <c r="J214" i="3" s="1"/>
  <c r="J216" i="3" s="1"/>
  <c r="M198" i="3" l="1"/>
  <c r="M188" i="3"/>
  <c r="M184" i="3"/>
  <c r="M182" i="3"/>
  <c r="M181" i="3"/>
  <c r="M183" i="3"/>
  <c r="M94" i="3"/>
  <c r="M98" i="3"/>
  <c r="M93" i="3"/>
  <c r="M88" i="3"/>
  <c r="M87" i="3"/>
  <c r="M96" i="3"/>
  <c r="M91" i="3"/>
  <c r="M85" i="3"/>
  <c r="M81" i="3"/>
  <c r="M67" i="3"/>
  <c r="M73" i="3"/>
  <c r="M207" i="3" s="1"/>
  <c r="M90" i="3"/>
  <c r="M84" i="3"/>
  <c r="M72" i="3"/>
  <c r="M206" i="3" s="1"/>
  <c r="M59" i="3"/>
  <c r="M82" i="3"/>
  <c r="M56" i="3"/>
  <c r="M63" i="3" s="1"/>
  <c r="M55" i="3"/>
  <c r="M58" i="3"/>
  <c r="M60" i="3"/>
  <c r="F152" i="3"/>
  <c r="C219" i="3"/>
  <c r="C220" i="3"/>
  <c r="K118" i="3"/>
  <c r="K207" i="3"/>
  <c r="K120" i="3"/>
  <c r="L120" i="3"/>
  <c r="J187" i="3"/>
  <c r="K172" i="3"/>
  <c r="K113" i="3"/>
  <c r="K106" i="3"/>
  <c r="F155" i="3"/>
  <c r="N26" i="3"/>
  <c r="F159" i="3"/>
  <c r="L118" i="3"/>
  <c r="K204" i="3"/>
  <c r="K75" i="3"/>
  <c r="K116" i="3"/>
  <c r="N37" i="3"/>
  <c r="K103" i="3"/>
  <c r="K107" i="3"/>
  <c r="F161" i="3"/>
  <c r="F156" i="3"/>
  <c r="F150" i="3"/>
  <c r="K63" i="3"/>
  <c r="K112" i="3"/>
  <c r="D211" i="3"/>
  <c r="L106" i="3"/>
  <c r="L122" i="3" s="1"/>
  <c r="L235" i="3" s="1"/>
  <c r="F166" i="3"/>
  <c r="F149" i="3"/>
  <c r="K206" i="3"/>
  <c r="K104" i="3"/>
  <c r="F153" i="3"/>
  <c r="T6" i="3"/>
  <c r="S5" i="3"/>
  <c r="S9" i="3" s="1"/>
  <c r="S19" i="3" s="1"/>
  <c r="F164" i="3"/>
  <c r="J200" i="3"/>
  <c r="J235" i="3"/>
  <c r="E224" i="3"/>
  <c r="E208" i="3"/>
  <c r="K110" i="3"/>
  <c r="L199" i="3"/>
  <c r="L200" i="3" s="1"/>
  <c r="L186" i="3"/>
  <c r="L185" i="3"/>
  <c r="L62" i="3"/>
  <c r="P14" i="3"/>
  <c r="Q10" i="3"/>
  <c r="J190" i="3"/>
  <c r="O57" i="3"/>
  <c r="O31" i="3"/>
  <c r="O35" i="3"/>
  <c r="O22" i="3"/>
  <c r="O33" i="3"/>
  <c r="O24" i="3"/>
  <c r="O29" i="3"/>
  <c r="T68" i="3"/>
  <c r="U4" i="3"/>
  <c r="K109" i="3"/>
  <c r="K115" i="3"/>
  <c r="F162" i="3"/>
  <c r="F158" i="3"/>
  <c r="U7" i="3"/>
  <c r="U71" i="3" s="1"/>
  <c r="U69" i="3" s="1"/>
  <c r="U205" i="3" s="1"/>
  <c r="V8" i="3"/>
  <c r="O37" i="3" l="1"/>
  <c r="J192" i="3"/>
  <c r="G144" i="3"/>
  <c r="G166" i="3" s="1"/>
  <c r="H144" i="3" s="1"/>
  <c r="H166" i="3" s="1"/>
  <c r="I144" i="3" s="1"/>
  <c r="I166" i="3" s="1"/>
  <c r="J144" i="3" s="1"/>
  <c r="J166" i="3" s="1"/>
  <c r="K144" i="3" s="1"/>
  <c r="K166" i="3" s="1"/>
  <c r="L144" i="3" s="1"/>
  <c r="L166" i="3" s="1"/>
  <c r="M144" i="3" s="1"/>
  <c r="M166" i="3" s="1"/>
  <c r="G128" i="3"/>
  <c r="G150" i="3" s="1"/>
  <c r="H128" i="3" s="1"/>
  <c r="H150" i="3" s="1"/>
  <c r="I128" i="3" s="1"/>
  <c r="I150" i="3" s="1"/>
  <c r="J128" i="3" s="1"/>
  <c r="J150" i="3" s="1"/>
  <c r="K128" i="3" s="1"/>
  <c r="K150" i="3" s="1"/>
  <c r="L128" i="3" s="1"/>
  <c r="L150" i="3" s="1"/>
  <c r="M199" i="3"/>
  <c r="M200" i="3" s="1"/>
  <c r="M185" i="3"/>
  <c r="M186" i="3"/>
  <c r="M62" i="3"/>
  <c r="M120" i="3"/>
  <c r="G140" i="3"/>
  <c r="G162" i="3" s="1"/>
  <c r="H140" i="3" s="1"/>
  <c r="H162" i="3" s="1"/>
  <c r="I140" i="3" s="1"/>
  <c r="I162" i="3" s="1"/>
  <c r="J140" i="3" s="1"/>
  <c r="J162" i="3" s="1"/>
  <c r="K140" i="3" s="1"/>
  <c r="K162" i="3" s="1"/>
  <c r="L140" i="3" s="1"/>
  <c r="L162" i="3" s="1"/>
  <c r="M140" i="3" s="1"/>
  <c r="M162" i="3" s="1"/>
  <c r="Q14" i="3"/>
  <c r="R10" i="3"/>
  <c r="K122" i="3"/>
  <c r="K235" i="3" s="1"/>
  <c r="G133" i="3"/>
  <c r="G155" i="3" s="1"/>
  <c r="H133" i="3" s="1"/>
  <c r="H155" i="3" s="1"/>
  <c r="I133" i="3" s="1"/>
  <c r="I155" i="3" s="1"/>
  <c r="J133" i="3" s="1"/>
  <c r="J155" i="3" s="1"/>
  <c r="K133" i="3" s="1"/>
  <c r="K155" i="3" s="1"/>
  <c r="L133" i="3" s="1"/>
  <c r="L155" i="3" s="1"/>
  <c r="M133" i="3" s="1"/>
  <c r="M155" i="3" s="1"/>
  <c r="C223" i="3"/>
  <c r="M128" i="3"/>
  <c r="M150" i="3" s="1"/>
  <c r="M104" i="3"/>
  <c r="M103" i="3"/>
  <c r="M116" i="3"/>
  <c r="G142" i="3"/>
  <c r="G164" i="3" s="1"/>
  <c r="H142" i="3" s="1"/>
  <c r="H164" i="3" s="1"/>
  <c r="I142" i="3" s="1"/>
  <c r="I164" i="3" s="1"/>
  <c r="J142" i="3" s="1"/>
  <c r="J164" i="3" s="1"/>
  <c r="K142" i="3" s="1"/>
  <c r="K164" i="3" s="1"/>
  <c r="L142" i="3" s="1"/>
  <c r="L164" i="3" s="1"/>
  <c r="M142" i="3" s="1"/>
  <c r="M164" i="3" s="1"/>
  <c r="G134" i="3"/>
  <c r="G156" i="3" s="1"/>
  <c r="H134" i="3" s="1"/>
  <c r="H156" i="3" s="1"/>
  <c r="I134" i="3" s="1"/>
  <c r="I156" i="3" s="1"/>
  <c r="J134" i="3" s="1"/>
  <c r="J156" i="3" s="1"/>
  <c r="K134" i="3" s="1"/>
  <c r="K156" i="3" s="1"/>
  <c r="L134" i="3" s="1"/>
  <c r="L156" i="3" s="1"/>
  <c r="M134" i="3" s="1"/>
  <c r="M156" i="3" s="1"/>
  <c r="M107" i="3"/>
  <c r="G136" i="3"/>
  <c r="G158" i="3" s="1"/>
  <c r="H136" i="3" s="1"/>
  <c r="H158" i="3" s="1"/>
  <c r="I136" i="3" s="1"/>
  <c r="I158" i="3" s="1"/>
  <c r="J136" i="3" s="1"/>
  <c r="J158" i="3" s="1"/>
  <c r="K136" i="3" s="1"/>
  <c r="K158" i="3" s="1"/>
  <c r="L136" i="3" s="1"/>
  <c r="L158" i="3" s="1"/>
  <c r="M136" i="3" s="1"/>
  <c r="M158" i="3" s="1"/>
  <c r="P35" i="3"/>
  <c r="P57" i="3"/>
  <c r="P31" i="3"/>
  <c r="P29" i="3"/>
  <c r="P33" i="3"/>
  <c r="P22" i="3"/>
  <c r="P24" i="3"/>
  <c r="E209" i="3"/>
  <c r="D218" i="3"/>
  <c r="M113" i="3"/>
  <c r="V7" i="3"/>
  <c r="V71" i="3" s="1"/>
  <c r="V69" i="3" s="1"/>
  <c r="V205" i="3" s="1"/>
  <c r="W8" i="3"/>
  <c r="O26" i="3"/>
  <c r="O51" i="3" s="1"/>
  <c r="T5" i="3"/>
  <c r="T9" i="3" s="1"/>
  <c r="T19" i="3" s="1"/>
  <c r="U6" i="3"/>
  <c r="G139" i="3"/>
  <c r="G161" i="3" s="1"/>
  <c r="H139" i="3" s="1"/>
  <c r="H161" i="3" s="1"/>
  <c r="I139" i="3" s="1"/>
  <c r="I161" i="3" s="1"/>
  <c r="J139" i="3" s="1"/>
  <c r="J161" i="3" s="1"/>
  <c r="K139" i="3" s="1"/>
  <c r="K161" i="3" s="1"/>
  <c r="L139" i="3" s="1"/>
  <c r="L161" i="3" s="1"/>
  <c r="M139" i="3" s="1"/>
  <c r="M161" i="3" s="1"/>
  <c r="G130" i="3"/>
  <c r="G152" i="3" s="1"/>
  <c r="H130" i="3" s="1"/>
  <c r="H152" i="3" s="1"/>
  <c r="I130" i="3" s="1"/>
  <c r="I152" i="3" s="1"/>
  <c r="J130" i="3" s="1"/>
  <c r="J152" i="3" s="1"/>
  <c r="K130" i="3" s="1"/>
  <c r="K152" i="3" s="1"/>
  <c r="L130" i="3" s="1"/>
  <c r="L152" i="3" s="1"/>
  <c r="M130" i="3" s="1"/>
  <c r="M152" i="3" s="1"/>
  <c r="M106" i="3"/>
  <c r="M118" i="3"/>
  <c r="M112" i="3"/>
  <c r="M109" i="3"/>
  <c r="U68" i="3"/>
  <c r="V4" i="3"/>
  <c r="G131" i="3"/>
  <c r="G153" i="3" s="1"/>
  <c r="H131" i="3" s="1"/>
  <c r="H153" i="3" s="1"/>
  <c r="I131" i="3" s="1"/>
  <c r="I153" i="3" s="1"/>
  <c r="J131" i="3" s="1"/>
  <c r="J153" i="3" s="1"/>
  <c r="K131" i="3" s="1"/>
  <c r="K153" i="3" s="1"/>
  <c r="L131" i="3" s="1"/>
  <c r="L153" i="3" s="1"/>
  <c r="M131" i="3" s="1"/>
  <c r="M153" i="3" s="1"/>
  <c r="F168" i="3"/>
  <c r="G127" i="3"/>
  <c r="G149" i="3" s="1"/>
  <c r="K199" i="3"/>
  <c r="K200" i="3" s="1"/>
  <c r="K186" i="3"/>
  <c r="K185" i="3"/>
  <c r="K62" i="3"/>
  <c r="G137" i="3"/>
  <c r="G159" i="3" s="1"/>
  <c r="H137" i="3" s="1"/>
  <c r="H159" i="3" s="1"/>
  <c r="I137" i="3" s="1"/>
  <c r="I159" i="3" s="1"/>
  <c r="J137" i="3" s="1"/>
  <c r="J159" i="3" s="1"/>
  <c r="K137" i="3" s="1"/>
  <c r="K159" i="3" s="1"/>
  <c r="L137" i="3" s="1"/>
  <c r="L159" i="3" s="1"/>
  <c r="M137" i="3" s="1"/>
  <c r="M159" i="3" s="1"/>
  <c r="K173" i="3"/>
  <c r="K177" i="3" s="1"/>
  <c r="K175" i="3"/>
  <c r="K214" i="3" s="1"/>
  <c r="K216" i="3" s="1"/>
  <c r="K174" i="3"/>
  <c r="M110" i="3"/>
  <c r="N51" i="3"/>
  <c r="M204" i="3"/>
  <c r="M75" i="3"/>
  <c r="M115" i="3"/>
  <c r="L172" i="3" l="1"/>
  <c r="K187" i="3"/>
  <c r="E211" i="3"/>
  <c r="G168" i="3"/>
  <c r="H127" i="3"/>
  <c r="H149" i="3" s="1"/>
  <c r="F224" i="3"/>
  <c r="F208" i="3"/>
  <c r="N198" i="3"/>
  <c r="N188" i="3"/>
  <c r="N184" i="3"/>
  <c r="N182" i="3"/>
  <c r="N181" i="3"/>
  <c r="N183" i="3"/>
  <c r="N84" i="3"/>
  <c r="N98" i="3"/>
  <c r="N93" i="3"/>
  <c r="N88" i="3"/>
  <c r="N87" i="3"/>
  <c r="N96" i="3"/>
  <c r="N91" i="3"/>
  <c r="N94" i="3"/>
  <c r="N67" i="3"/>
  <c r="N73" i="3"/>
  <c r="N207" i="3" s="1"/>
  <c r="N60" i="3"/>
  <c r="N90" i="3"/>
  <c r="N72" i="3"/>
  <c r="N206" i="3" s="1"/>
  <c r="N82" i="3"/>
  <c r="N59" i="3"/>
  <c r="N85" i="3"/>
  <c r="N56" i="3"/>
  <c r="N58" i="3"/>
  <c r="N55" i="3"/>
  <c r="N81" i="3"/>
  <c r="P26" i="3"/>
  <c r="U5" i="3"/>
  <c r="U9" i="3" s="1"/>
  <c r="U19" i="3" s="1"/>
  <c r="V6" i="3"/>
  <c r="P37" i="3"/>
  <c r="M122" i="3"/>
  <c r="M235" i="3" s="1"/>
  <c r="W7" i="3"/>
  <c r="W71" i="3" s="1"/>
  <c r="W69" i="3" s="1"/>
  <c r="W205" i="3" s="1"/>
  <c r="X8" i="3"/>
  <c r="D219" i="3"/>
  <c r="R14" i="3"/>
  <c r="S10" i="3"/>
  <c r="K190" i="3"/>
  <c r="K192" i="3" s="1"/>
  <c r="V68" i="3"/>
  <c r="W4" i="3"/>
  <c r="O198" i="3"/>
  <c r="O188" i="3"/>
  <c r="O184" i="3"/>
  <c r="O181" i="3"/>
  <c r="O183" i="3"/>
  <c r="O182" i="3"/>
  <c r="O98" i="3"/>
  <c r="O93" i="3"/>
  <c r="O88" i="3"/>
  <c r="O96" i="3"/>
  <c r="O91" i="3"/>
  <c r="O90" i="3"/>
  <c r="O85" i="3"/>
  <c r="O73" i="3"/>
  <c r="O207" i="3" s="1"/>
  <c r="O60" i="3"/>
  <c r="O72" i="3"/>
  <c r="O206" i="3" s="1"/>
  <c r="O84" i="3"/>
  <c r="O82" i="3"/>
  <c r="O87" i="3"/>
  <c r="O56" i="3"/>
  <c r="O58" i="3"/>
  <c r="O81" i="3"/>
  <c r="O55" i="3"/>
  <c r="O94" i="3"/>
  <c r="O67" i="3"/>
  <c r="O59" i="3"/>
  <c r="Q57" i="3"/>
  <c r="Q29" i="3"/>
  <c r="Q22" i="3"/>
  <c r="Q33" i="3"/>
  <c r="Q24" i="3"/>
  <c r="Q31" i="3"/>
  <c r="Q35" i="3"/>
  <c r="P51" i="3" l="1"/>
  <c r="O115" i="3"/>
  <c r="W68" i="3"/>
  <c r="X4" i="3"/>
  <c r="P198" i="3"/>
  <c r="P188" i="3"/>
  <c r="P184" i="3"/>
  <c r="P181" i="3"/>
  <c r="P183" i="3"/>
  <c r="P182" i="3"/>
  <c r="P87" i="3"/>
  <c r="P96" i="3"/>
  <c r="P91" i="3"/>
  <c r="P90" i="3"/>
  <c r="P85" i="3"/>
  <c r="P94" i="3"/>
  <c r="P93" i="3"/>
  <c r="P72" i="3"/>
  <c r="P206" i="3" s="1"/>
  <c r="P59" i="3"/>
  <c r="P84" i="3"/>
  <c r="P82" i="3"/>
  <c r="P98" i="3"/>
  <c r="P81" i="3"/>
  <c r="P58" i="3"/>
  <c r="P88" i="3"/>
  <c r="P55" i="3"/>
  <c r="P73" i="3"/>
  <c r="P207" i="3" s="1"/>
  <c r="P67" i="3"/>
  <c r="P60" i="3"/>
  <c r="P56" i="3"/>
  <c r="N128" i="3"/>
  <c r="N150" i="3" s="1"/>
  <c r="N104" i="3"/>
  <c r="N142" i="3"/>
  <c r="N164" i="3" s="1"/>
  <c r="O142" i="3" s="1"/>
  <c r="O164" i="3" s="1"/>
  <c r="N118" i="3"/>
  <c r="N103" i="3"/>
  <c r="N133" i="3"/>
  <c r="N155" i="3" s="1"/>
  <c r="O133" i="3" s="1"/>
  <c r="O155" i="3" s="1"/>
  <c r="N109" i="3"/>
  <c r="H168" i="3"/>
  <c r="I127" i="3"/>
  <c r="I149" i="3" s="1"/>
  <c r="O103" i="3"/>
  <c r="X7" i="3"/>
  <c r="X71" i="3" s="1"/>
  <c r="X69" i="3" s="1"/>
  <c r="X205" i="3" s="1"/>
  <c r="Y8" i="3"/>
  <c r="N136" i="3"/>
  <c r="N158" i="3" s="1"/>
  <c r="O136" i="3" s="1"/>
  <c r="O158" i="3" s="1"/>
  <c r="N112" i="3"/>
  <c r="N110" i="3"/>
  <c r="N134" i="3"/>
  <c r="N156" i="3" s="1"/>
  <c r="G224" i="3"/>
  <c r="G208" i="3"/>
  <c r="G209" i="3" s="1"/>
  <c r="G211" i="3" s="1"/>
  <c r="G218" i="3" s="1"/>
  <c r="O120" i="3"/>
  <c r="N115" i="3"/>
  <c r="N139" i="3"/>
  <c r="N161" i="3" s="1"/>
  <c r="O139" i="3" s="1"/>
  <c r="O161" i="3" s="1"/>
  <c r="O63" i="3"/>
  <c r="O112" i="3"/>
  <c r="T10" i="3"/>
  <c r="S14" i="3"/>
  <c r="N144" i="3"/>
  <c r="N166" i="3" s="1"/>
  <c r="O144" i="3" s="1"/>
  <c r="O166" i="3" s="1"/>
  <c r="N120" i="3"/>
  <c r="E218" i="3"/>
  <c r="Q26" i="3"/>
  <c r="O109" i="3"/>
  <c r="O113" i="3"/>
  <c r="R29" i="3"/>
  <c r="R31" i="3"/>
  <c r="R33" i="3"/>
  <c r="R57" i="3"/>
  <c r="R22" i="3"/>
  <c r="R35" i="3"/>
  <c r="R24" i="3"/>
  <c r="N63" i="3"/>
  <c r="N204" i="3"/>
  <c r="N75" i="3"/>
  <c r="N130" i="3"/>
  <c r="N152" i="3" s="1"/>
  <c r="O130" i="3" s="1"/>
  <c r="O152" i="3" s="1"/>
  <c r="N106" i="3"/>
  <c r="Q37" i="3"/>
  <c r="O128" i="3"/>
  <c r="O150" i="3" s="1"/>
  <c r="O104" i="3"/>
  <c r="O118" i="3"/>
  <c r="V5" i="3"/>
  <c r="V9" i="3" s="1"/>
  <c r="V19" i="3" s="1"/>
  <c r="W6" i="3"/>
  <c r="N131" i="3"/>
  <c r="N153" i="3" s="1"/>
  <c r="O131" i="3" s="1"/>
  <c r="O153" i="3" s="1"/>
  <c r="N107" i="3"/>
  <c r="N140" i="3"/>
  <c r="N162" i="3" s="1"/>
  <c r="O140" i="3" s="1"/>
  <c r="O162" i="3" s="1"/>
  <c r="N116" i="3"/>
  <c r="L173" i="3"/>
  <c r="L175" i="3"/>
  <c r="L214" i="3" s="1"/>
  <c r="L216" i="3" s="1"/>
  <c r="L174" i="3"/>
  <c r="O107" i="3"/>
  <c r="O204" i="3"/>
  <c r="O75" i="3"/>
  <c r="O116" i="3"/>
  <c r="O106" i="3"/>
  <c r="O110" i="3"/>
  <c r="O134" i="3"/>
  <c r="O156" i="3" s="1"/>
  <c r="D220" i="3"/>
  <c r="N137" i="3"/>
  <c r="N159" i="3" s="1"/>
  <c r="O137" i="3" s="1"/>
  <c r="O159" i="3" s="1"/>
  <c r="N113" i="3"/>
  <c r="F209" i="3"/>
  <c r="P63" i="3" l="1"/>
  <c r="L177" i="3"/>
  <c r="L187" i="3"/>
  <c r="L190" i="3" s="1"/>
  <c r="L192" i="3" s="1"/>
  <c r="M172" i="3"/>
  <c r="N185" i="3"/>
  <c r="N186" i="3"/>
  <c r="N199" i="3"/>
  <c r="N200" i="3" s="1"/>
  <c r="N62" i="3"/>
  <c r="P199" i="3"/>
  <c r="P186" i="3"/>
  <c r="P185" i="3"/>
  <c r="P103" i="3"/>
  <c r="P131" i="3"/>
  <c r="P153" i="3" s="1"/>
  <c r="P107" i="3"/>
  <c r="S57" i="3"/>
  <c r="S22" i="3"/>
  <c r="S24" i="3"/>
  <c r="S35" i="3"/>
  <c r="S31" i="3"/>
  <c r="S33" i="3"/>
  <c r="S29" i="3"/>
  <c r="S37" i="3" s="1"/>
  <c r="P62" i="3"/>
  <c r="P144" i="3"/>
  <c r="P166" i="3" s="1"/>
  <c r="P120" i="3"/>
  <c r="P136" i="3"/>
  <c r="P158" i="3" s="1"/>
  <c r="P112" i="3"/>
  <c r="D223" i="3"/>
  <c r="T14" i="3"/>
  <c r="U10" i="3"/>
  <c r="Z8" i="3"/>
  <c r="Y7" i="3"/>
  <c r="Y71" i="3" s="1"/>
  <c r="Y69" i="3" s="1"/>
  <c r="Y205" i="3" s="1"/>
  <c r="N122" i="3"/>
  <c r="N235" i="3" s="1"/>
  <c r="P128" i="3"/>
  <c r="P150" i="3" s="1"/>
  <c r="P104" i="3"/>
  <c r="P113" i="3"/>
  <c r="P137" i="3"/>
  <c r="P159" i="3" s="1"/>
  <c r="P200" i="3"/>
  <c r="R26" i="3"/>
  <c r="P204" i="3"/>
  <c r="P75" i="3"/>
  <c r="P130" i="3"/>
  <c r="P152" i="3" s="1"/>
  <c r="P106" i="3"/>
  <c r="P142" i="3"/>
  <c r="P164" i="3" s="1"/>
  <c r="P118" i="3"/>
  <c r="Q51" i="3"/>
  <c r="G219" i="3"/>
  <c r="G220" i="3" s="1"/>
  <c r="G223" i="3" s="1"/>
  <c r="O122" i="3"/>
  <c r="O235" i="3" s="1"/>
  <c r="P109" i="3"/>
  <c r="P133" i="3"/>
  <c r="P155" i="3" s="1"/>
  <c r="X68" i="3"/>
  <c r="Y4" i="3"/>
  <c r="E219" i="3"/>
  <c r="E220" i="3" s="1"/>
  <c r="I168" i="3"/>
  <c r="J127" i="3"/>
  <c r="J149" i="3" s="1"/>
  <c r="P134" i="3"/>
  <c r="P156" i="3" s="1"/>
  <c r="P110" i="3"/>
  <c r="P139" i="3"/>
  <c r="P161" i="3" s="1"/>
  <c r="P115" i="3"/>
  <c r="F211" i="3"/>
  <c r="X6" i="3"/>
  <c r="W5" i="3"/>
  <c r="W9" i="3" s="1"/>
  <c r="W19" i="3" s="1"/>
  <c r="O199" i="3"/>
  <c r="O200" i="3" s="1"/>
  <c r="O185" i="3"/>
  <c r="O186" i="3"/>
  <c r="O62" i="3"/>
  <c r="R37" i="3"/>
  <c r="H224" i="3"/>
  <c r="H208" i="3"/>
  <c r="H209" i="3" s="1"/>
  <c r="H211" i="3" s="1"/>
  <c r="H218" i="3" s="1"/>
  <c r="P140" i="3"/>
  <c r="P162" i="3" s="1"/>
  <c r="P116" i="3"/>
  <c r="E223" i="3" l="1"/>
  <c r="F218" i="3"/>
  <c r="S26" i="3"/>
  <c r="S51" i="3" s="1"/>
  <c r="R51" i="3"/>
  <c r="AA8" i="3"/>
  <c r="Z7" i="3"/>
  <c r="Z71" i="3" s="1"/>
  <c r="Z69" i="3" s="1"/>
  <c r="Z205" i="3" s="1"/>
  <c r="Q184" i="3"/>
  <c r="Q188" i="3"/>
  <c r="Q183" i="3"/>
  <c r="Q198" i="3"/>
  <c r="Q182" i="3"/>
  <c r="Q181" i="3"/>
  <c r="Q87" i="3"/>
  <c r="Q96" i="3"/>
  <c r="Q91" i="3"/>
  <c r="Q90" i="3"/>
  <c r="Q85" i="3"/>
  <c r="Q94" i="3"/>
  <c r="Q84" i="3"/>
  <c r="Q93" i="3"/>
  <c r="Q72" i="3"/>
  <c r="Q206" i="3" s="1"/>
  <c r="Q59" i="3"/>
  <c r="Q82" i="3"/>
  <c r="Q98" i="3"/>
  <c r="Q81" i="3"/>
  <c r="Q88" i="3"/>
  <c r="Q67" i="3"/>
  <c r="Q55" i="3"/>
  <c r="Q73" i="3"/>
  <c r="Q207" i="3" s="1"/>
  <c r="Q60" i="3"/>
  <c r="Q58" i="3"/>
  <c r="Q56" i="3"/>
  <c r="Q63" i="3" s="1"/>
  <c r="V10" i="3"/>
  <c r="U14" i="3"/>
  <c r="Y68" i="3"/>
  <c r="Z4" i="3"/>
  <c r="T57" i="3"/>
  <c r="T31" i="3"/>
  <c r="T33" i="3"/>
  <c r="T22" i="3"/>
  <c r="T26" i="3" s="1"/>
  <c r="T35" i="3"/>
  <c r="T29" i="3"/>
  <c r="T24" i="3"/>
  <c r="H219" i="3"/>
  <c r="H220" i="3" s="1"/>
  <c r="H223" i="3" s="1"/>
  <c r="P122" i="3"/>
  <c r="P235" i="3" s="1"/>
  <c r="M175" i="3"/>
  <c r="M214" i="3" s="1"/>
  <c r="M216" i="3" s="1"/>
  <c r="M174" i="3"/>
  <c r="M173" i="3"/>
  <c r="M177" i="3" s="1"/>
  <c r="I224" i="3"/>
  <c r="I208" i="3"/>
  <c r="I209" i="3" s="1"/>
  <c r="I211" i="3" s="1"/>
  <c r="I218" i="3" s="1"/>
  <c r="Y6" i="3"/>
  <c r="X5" i="3"/>
  <c r="X9" i="3" s="1"/>
  <c r="X19" i="3" s="1"/>
  <c r="J168" i="3"/>
  <c r="K127" i="3"/>
  <c r="K149" i="3" s="1"/>
  <c r="M187" i="3" l="1"/>
  <c r="M190" i="3" s="1"/>
  <c r="M192" i="3" s="1"/>
  <c r="N172" i="3"/>
  <c r="W10" i="3"/>
  <c r="V14" i="3"/>
  <c r="Q110" i="3"/>
  <c r="Q134" i="3"/>
  <c r="Q156" i="3" s="1"/>
  <c r="Q140" i="3"/>
  <c r="Q162" i="3" s="1"/>
  <c r="Q116" i="3"/>
  <c r="S188" i="3"/>
  <c r="S183" i="3"/>
  <c r="S182" i="3"/>
  <c r="S198" i="3"/>
  <c r="S184" i="3"/>
  <c r="S181" i="3"/>
  <c r="S90" i="3"/>
  <c r="S85" i="3"/>
  <c r="S94" i="3"/>
  <c r="S84" i="3"/>
  <c r="S98" i="3"/>
  <c r="S93" i="3"/>
  <c r="S88" i="3"/>
  <c r="S82" i="3"/>
  <c r="S58" i="3"/>
  <c r="S91" i="3"/>
  <c r="S81" i="3"/>
  <c r="S87" i="3"/>
  <c r="S67" i="3"/>
  <c r="S73" i="3"/>
  <c r="S207" i="3" s="1"/>
  <c r="S96" i="3"/>
  <c r="S72" i="3"/>
  <c r="S206" i="3" s="1"/>
  <c r="S56" i="3"/>
  <c r="S59" i="3"/>
  <c r="S60" i="3"/>
  <c r="S55" i="3"/>
  <c r="Z6" i="3"/>
  <c r="Y5" i="3"/>
  <c r="Y9" i="3" s="1"/>
  <c r="Y19" i="3" s="1"/>
  <c r="Q204" i="3"/>
  <c r="Q75" i="3"/>
  <c r="Q199" i="3"/>
  <c r="Q200" i="3" s="1"/>
  <c r="Q186" i="3"/>
  <c r="Q185" i="3"/>
  <c r="Q131" i="3"/>
  <c r="Q153" i="3" s="1"/>
  <c r="Q107" i="3"/>
  <c r="T51" i="3"/>
  <c r="I219" i="3"/>
  <c r="I220" i="3" s="1"/>
  <c r="I223" i="3" s="1"/>
  <c r="Q136" i="3"/>
  <c r="Q158" i="3" s="1"/>
  <c r="Q112" i="3"/>
  <c r="Z68" i="3"/>
  <c r="AA4" i="3"/>
  <c r="Q128" i="3"/>
  <c r="Q150" i="3" s="1"/>
  <c r="Q104" i="3"/>
  <c r="Q113" i="3"/>
  <c r="Q137" i="3"/>
  <c r="Q159" i="3" s="1"/>
  <c r="F219" i="3"/>
  <c r="F220" i="3" s="1"/>
  <c r="K168" i="3"/>
  <c r="L127" i="3"/>
  <c r="L149" i="3" s="1"/>
  <c r="Q62" i="3"/>
  <c r="Q118" i="3"/>
  <c r="Q142" i="3"/>
  <c r="Q164" i="3" s="1"/>
  <c r="Q106" i="3"/>
  <c r="Q130" i="3"/>
  <c r="Q152" i="3" s="1"/>
  <c r="Q144" i="3"/>
  <c r="Q166" i="3" s="1"/>
  <c r="Q120" i="3"/>
  <c r="J224" i="3"/>
  <c r="J208" i="3"/>
  <c r="J209" i="3" s="1"/>
  <c r="J211" i="3" s="1"/>
  <c r="J218" i="3" s="1"/>
  <c r="T37" i="3"/>
  <c r="Q109" i="3"/>
  <c r="Q133" i="3"/>
  <c r="Q155" i="3" s="1"/>
  <c r="R198" i="3"/>
  <c r="R188" i="3"/>
  <c r="R184" i="3"/>
  <c r="R183" i="3"/>
  <c r="R182" i="3"/>
  <c r="R181" i="3"/>
  <c r="R96" i="3"/>
  <c r="R91" i="3"/>
  <c r="R90" i="3"/>
  <c r="R94" i="3"/>
  <c r="R98" i="3"/>
  <c r="R93" i="3"/>
  <c r="R88" i="3"/>
  <c r="R84" i="3"/>
  <c r="R82" i="3"/>
  <c r="R58" i="3"/>
  <c r="R81" i="3"/>
  <c r="R87" i="3"/>
  <c r="R67" i="3"/>
  <c r="R73" i="3"/>
  <c r="R207" i="3" s="1"/>
  <c r="R85" i="3"/>
  <c r="R60" i="3"/>
  <c r="R56" i="3"/>
  <c r="R59" i="3"/>
  <c r="R55" i="3"/>
  <c r="R72" i="3"/>
  <c r="R206" i="3" s="1"/>
  <c r="Q103" i="3"/>
  <c r="U57" i="3"/>
  <c r="U33" i="3"/>
  <c r="U29" i="3"/>
  <c r="U31" i="3"/>
  <c r="U22" i="3"/>
  <c r="U35" i="3"/>
  <c r="U24" i="3"/>
  <c r="Q139" i="3"/>
  <c r="Q161" i="3" s="1"/>
  <c r="Q115" i="3"/>
  <c r="AB8" i="3"/>
  <c r="AA7" i="3"/>
  <c r="AA71" i="3" s="1"/>
  <c r="AA69" i="3" s="1"/>
  <c r="AA205" i="3" s="1"/>
  <c r="R63" i="3" l="1"/>
  <c r="R62" i="3" s="1"/>
  <c r="R128" i="3"/>
  <c r="R150" i="3" s="1"/>
  <c r="S128" i="3" s="1"/>
  <c r="S150" i="3" s="1"/>
  <c r="R104" i="3"/>
  <c r="S112" i="3"/>
  <c r="R130" i="3"/>
  <c r="R152" i="3" s="1"/>
  <c r="R106" i="3"/>
  <c r="S104" i="3"/>
  <c r="S118" i="3"/>
  <c r="S110" i="3"/>
  <c r="R118" i="3"/>
  <c r="R142" i="3"/>
  <c r="R164" i="3" s="1"/>
  <c r="S142" i="3" s="1"/>
  <c r="S164" i="3" s="1"/>
  <c r="J219" i="3"/>
  <c r="J220" i="3" s="1"/>
  <c r="J223" i="3" s="1"/>
  <c r="Q122" i="3"/>
  <c r="Q235" i="3" s="1"/>
  <c r="L168" i="3"/>
  <c r="M127" i="3"/>
  <c r="M149" i="3" s="1"/>
  <c r="Z5" i="3"/>
  <c r="Z9" i="3" s="1"/>
  <c r="Z19" i="3" s="1"/>
  <c r="AA6" i="3"/>
  <c r="S115" i="3"/>
  <c r="T198" i="3"/>
  <c r="T188" i="3"/>
  <c r="T184" i="3"/>
  <c r="T183" i="3"/>
  <c r="T182" i="3"/>
  <c r="T181" i="3"/>
  <c r="T90" i="3"/>
  <c r="T85" i="3"/>
  <c r="T94" i="3"/>
  <c r="T98" i="3"/>
  <c r="T93" i="3"/>
  <c r="T88" i="3"/>
  <c r="T87" i="3"/>
  <c r="T84" i="3"/>
  <c r="T91" i="3"/>
  <c r="T81" i="3"/>
  <c r="T67" i="3"/>
  <c r="T73" i="3"/>
  <c r="T207" i="3" s="1"/>
  <c r="T96" i="3"/>
  <c r="T72" i="3"/>
  <c r="T206" i="3" s="1"/>
  <c r="T82" i="3"/>
  <c r="T60" i="3"/>
  <c r="T59" i="3"/>
  <c r="T55" i="3"/>
  <c r="T58" i="3"/>
  <c r="T56" i="3"/>
  <c r="R139" i="3"/>
  <c r="R161" i="3" s="1"/>
  <c r="S139" i="3" s="1"/>
  <c r="S161" i="3" s="1"/>
  <c r="R115" i="3"/>
  <c r="U26" i="3"/>
  <c r="R204" i="3"/>
  <c r="R75" i="3"/>
  <c r="R144" i="3"/>
  <c r="R166" i="3" s="1"/>
  <c r="R120" i="3"/>
  <c r="K224" i="3"/>
  <c r="K208" i="3"/>
  <c r="K209" i="3" s="1"/>
  <c r="K211" i="3" s="1"/>
  <c r="K218" i="3" s="1"/>
  <c r="AA68" i="3"/>
  <c r="AB4" i="3"/>
  <c r="S204" i="3"/>
  <c r="S75" i="3"/>
  <c r="S144" i="3"/>
  <c r="S166" i="3" s="1"/>
  <c r="S120" i="3"/>
  <c r="V33" i="3"/>
  <c r="V57" i="3"/>
  <c r="V29" i="3"/>
  <c r="V22" i="3"/>
  <c r="V24" i="3"/>
  <c r="V35" i="3"/>
  <c r="V31" i="3"/>
  <c r="R107" i="3"/>
  <c r="R131" i="3"/>
  <c r="R153" i="3" s="1"/>
  <c r="S131" i="3" s="1"/>
  <c r="S153" i="3" s="1"/>
  <c r="R133" i="3"/>
  <c r="R155" i="3" s="1"/>
  <c r="S133" i="3" s="1"/>
  <c r="S155" i="3" s="1"/>
  <c r="R109" i="3"/>
  <c r="R140" i="3"/>
  <c r="R162" i="3" s="1"/>
  <c r="R116" i="3"/>
  <c r="S109" i="3"/>
  <c r="S106" i="3"/>
  <c r="S130" i="3"/>
  <c r="S152" i="3" s="1"/>
  <c r="W14" i="3"/>
  <c r="X10" i="3"/>
  <c r="R134" i="3"/>
  <c r="R156" i="3" s="1"/>
  <c r="S134" i="3" s="1"/>
  <c r="S156" i="3" s="1"/>
  <c r="R110" i="3"/>
  <c r="AB7" i="3"/>
  <c r="AB71" i="3" s="1"/>
  <c r="AB69" i="3" s="1"/>
  <c r="AB205" i="3" s="1"/>
  <c r="AC8" i="3"/>
  <c r="U37" i="3"/>
  <c r="R103" i="3"/>
  <c r="R112" i="3"/>
  <c r="R136" i="3"/>
  <c r="R158" i="3" s="1"/>
  <c r="S136" i="3" s="1"/>
  <c r="S158" i="3" s="1"/>
  <c r="R200" i="3"/>
  <c r="S103" i="3"/>
  <c r="S140" i="3"/>
  <c r="S162" i="3" s="1"/>
  <c r="S116" i="3"/>
  <c r="N175" i="3"/>
  <c r="N214" i="3" s="1"/>
  <c r="N216" i="3" s="1"/>
  <c r="N174" i="3"/>
  <c r="N173" i="3"/>
  <c r="N177" i="3"/>
  <c r="R186" i="3"/>
  <c r="R185" i="3"/>
  <c r="R199" i="3"/>
  <c r="R113" i="3"/>
  <c r="R137" i="3"/>
  <c r="R159" i="3" s="1"/>
  <c r="S137" i="3" s="1"/>
  <c r="S159" i="3" s="1"/>
  <c r="F223" i="3"/>
  <c r="S63" i="3"/>
  <c r="S113" i="3"/>
  <c r="S107" i="3"/>
  <c r="T63" i="3" l="1"/>
  <c r="T62" i="3" s="1"/>
  <c r="T204" i="3"/>
  <c r="T75" i="3"/>
  <c r="T116" i="3"/>
  <c r="T140" i="3"/>
  <c r="T162" i="3" s="1"/>
  <c r="M168" i="3"/>
  <c r="N127" i="3"/>
  <c r="N149" i="3" s="1"/>
  <c r="T144" i="3"/>
  <c r="T166" i="3" s="1"/>
  <c r="T120" i="3"/>
  <c r="L224" i="3"/>
  <c r="L208" i="3"/>
  <c r="L209" i="3" s="1"/>
  <c r="L211" i="3" s="1"/>
  <c r="L218" i="3" s="1"/>
  <c r="S122" i="3"/>
  <c r="S235" i="3" s="1"/>
  <c r="AD8" i="3"/>
  <c r="AC7" i="3"/>
  <c r="AC71" i="3" s="1"/>
  <c r="AC69" i="3" s="1"/>
  <c r="AC205" i="3" s="1"/>
  <c r="T103" i="3"/>
  <c r="T107" i="3"/>
  <c r="T131" i="3"/>
  <c r="T153" i="3" s="1"/>
  <c r="T112" i="3"/>
  <c r="T136" i="3"/>
  <c r="T158" i="3" s="1"/>
  <c r="AB68" i="3"/>
  <c r="AC4" i="3"/>
  <c r="T128" i="3"/>
  <c r="T150" i="3" s="1"/>
  <c r="T104" i="3"/>
  <c r="T130" i="3"/>
  <c r="T152" i="3" s="1"/>
  <c r="T106" i="3"/>
  <c r="T199" i="3"/>
  <c r="T200" i="3" s="1"/>
  <c r="T186" i="3"/>
  <c r="T185" i="3"/>
  <c r="S199" i="3"/>
  <c r="S200" i="3" s="1"/>
  <c r="S186" i="3"/>
  <c r="S185" i="3"/>
  <c r="S62" i="3"/>
  <c r="T137" i="3"/>
  <c r="T159" i="3" s="1"/>
  <c r="T113" i="3"/>
  <c r="V26" i="3"/>
  <c r="U51" i="3"/>
  <c r="X14" i="3"/>
  <c r="Y10" i="3"/>
  <c r="V37" i="3"/>
  <c r="T133" i="3"/>
  <c r="T155" i="3" s="1"/>
  <c r="T109" i="3"/>
  <c r="AB6" i="3"/>
  <c r="AA5" i="3"/>
  <c r="AA9" i="3" s="1"/>
  <c r="AA19" i="3" s="1"/>
  <c r="T139" i="3"/>
  <c r="T161" i="3" s="1"/>
  <c r="T115" i="3"/>
  <c r="N187" i="3"/>
  <c r="N190" i="3" s="1"/>
  <c r="N192" i="3" s="1"/>
  <c r="O172" i="3"/>
  <c r="R122" i="3"/>
  <c r="R235" i="3" s="1"/>
  <c r="W57" i="3"/>
  <c r="W22" i="3"/>
  <c r="W31" i="3"/>
  <c r="W35" i="3"/>
  <c r="W29" i="3"/>
  <c r="W24" i="3"/>
  <c r="W33" i="3"/>
  <c r="K219" i="3"/>
  <c r="K220" i="3" s="1"/>
  <c r="K223" i="3" s="1"/>
  <c r="T142" i="3"/>
  <c r="T164" i="3" s="1"/>
  <c r="T118" i="3"/>
  <c r="T134" i="3"/>
  <c r="T156" i="3" s="1"/>
  <c r="T110" i="3"/>
  <c r="V51" i="3" l="1"/>
  <c r="W26" i="3"/>
  <c r="T122" i="3"/>
  <c r="T235" i="3" s="1"/>
  <c r="N168" i="3"/>
  <c r="O127" i="3"/>
  <c r="O149" i="3" s="1"/>
  <c r="AC6" i="3"/>
  <c r="AB5" i="3"/>
  <c r="AB9" i="3" s="1"/>
  <c r="AB19" i="3" s="1"/>
  <c r="AE8" i="3"/>
  <c r="AD7" i="3"/>
  <c r="AD71" i="3" s="1"/>
  <c r="AD69" i="3" s="1"/>
  <c r="AD205" i="3" s="1"/>
  <c r="U198" i="3"/>
  <c r="U188" i="3"/>
  <c r="U184" i="3"/>
  <c r="U182" i="3"/>
  <c r="U181" i="3"/>
  <c r="U183" i="3"/>
  <c r="U94" i="3"/>
  <c r="U98" i="3"/>
  <c r="U93" i="3"/>
  <c r="U88" i="3"/>
  <c r="U87" i="3"/>
  <c r="U96" i="3"/>
  <c r="U91" i="3"/>
  <c r="U81" i="3"/>
  <c r="U67" i="3"/>
  <c r="U90" i="3"/>
  <c r="U73" i="3"/>
  <c r="U207" i="3" s="1"/>
  <c r="U72" i="3"/>
  <c r="U206" i="3" s="1"/>
  <c r="U85" i="3"/>
  <c r="U82" i="3"/>
  <c r="U84" i="3"/>
  <c r="U60" i="3"/>
  <c r="U56" i="3"/>
  <c r="U55" i="3"/>
  <c r="U58" i="3"/>
  <c r="U59" i="3"/>
  <c r="AC68" i="3"/>
  <c r="AD4" i="3"/>
  <c r="M224" i="3"/>
  <c r="M208" i="3"/>
  <c r="M209" i="3" s="1"/>
  <c r="M211" i="3" s="1"/>
  <c r="M218" i="3" s="1"/>
  <c r="O175" i="3"/>
  <c r="O214" i="3" s="1"/>
  <c r="O216" i="3" s="1"/>
  <c r="O174" i="3"/>
  <c r="O173" i="3"/>
  <c r="O177" i="3" s="1"/>
  <c r="L219" i="3"/>
  <c r="L220" i="3"/>
  <c r="L223" i="3" s="1"/>
  <c r="V198" i="3"/>
  <c r="V188" i="3"/>
  <c r="V184" i="3"/>
  <c r="V182" i="3"/>
  <c r="V181" i="3"/>
  <c r="V183" i="3"/>
  <c r="V84" i="3"/>
  <c r="V98" i="3"/>
  <c r="V93" i="3"/>
  <c r="V88" i="3"/>
  <c r="V87" i="3"/>
  <c r="V96" i="3"/>
  <c r="V91" i="3"/>
  <c r="V67" i="3"/>
  <c r="V90" i="3"/>
  <c r="V73" i="3"/>
  <c r="V207" i="3" s="1"/>
  <c r="V60" i="3"/>
  <c r="V72" i="3"/>
  <c r="V206" i="3" s="1"/>
  <c r="V85" i="3"/>
  <c r="V82" i="3"/>
  <c r="V81" i="3"/>
  <c r="V56" i="3"/>
  <c r="V59" i="3"/>
  <c r="V94" i="3"/>
  <c r="V58" i="3"/>
  <c r="V55" i="3"/>
  <c r="W37" i="3"/>
  <c r="W51" i="3" s="1"/>
  <c r="Y14" i="3"/>
  <c r="Z10" i="3"/>
  <c r="X35" i="3"/>
  <c r="X57" i="3"/>
  <c r="X31" i="3"/>
  <c r="X29" i="3"/>
  <c r="X33" i="3"/>
  <c r="X22" i="3"/>
  <c r="X24" i="3"/>
  <c r="V63" i="3" l="1"/>
  <c r="O187" i="3"/>
  <c r="O190" i="3" s="1"/>
  <c r="O192" i="3" s="1"/>
  <c r="P172" i="3"/>
  <c r="W188" i="3"/>
  <c r="W184" i="3"/>
  <c r="W198" i="3"/>
  <c r="W183" i="3"/>
  <c r="W181" i="3"/>
  <c r="W182" i="3"/>
  <c r="W98" i="3"/>
  <c r="W93" i="3"/>
  <c r="W88" i="3"/>
  <c r="W96" i="3"/>
  <c r="W91" i="3"/>
  <c r="W90" i="3"/>
  <c r="W85" i="3"/>
  <c r="W73" i="3"/>
  <c r="W207" i="3" s="1"/>
  <c r="W60" i="3"/>
  <c r="W87" i="3"/>
  <c r="W72" i="3"/>
  <c r="W206" i="3" s="1"/>
  <c r="W82" i="3"/>
  <c r="W94" i="3"/>
  <c r="W84" i="3"/>
  <c r="W81" i="3"/>
  <c r="W56" i="3"/>
  <c r="W59" i="3"/>
  <c r="W55" i="3"/>
  <c r="W67" i="3"/>
  <c r="W58" i="3"/>
  <c r="U103" i="3"/>
  <c r="AE7" i="3"/>
  <c r="AE71" i="3" s="1"/>
  <c r="AE69" i="3" s="1"/>
  <c r="AE205" i="3" s="1"/>
  <c r="AF8" i="3"/>
  <c r="V112" i="3"/>
  <c r="V106" i="3"/>
  <c r="AD68" i="3"/>
  <c r="AE4" i="3"/>
  <c r="U104" i="3"/>
  <c r="U128" i="3"/>
  <c r="U150" i="3" s="1"/>
  <c r="V128" i="3" s="1"/>
  <c r="V150" i="3" s="1"/>
  <c r="U137" i="3"/>
  <c r="U159" i="3" s="1"/>
  <c r="U113" i="3"/>
  <c r="V204" i="3"/>
  <c r="V75" i="3"/>
  <c r="X26" i="3"/>
  <c r="V103" i="3"/>
  <c r="U109" i="3"/>
  <c r="U133" i="3"/>
  <c r="U155" i="3" s="1"/>
  <c r="O168" i="3"/>
  <c r="P127" i="3"/>
  <c r="P149" i="3" s="1"/>
  <c r="V120" i="3"/>
  <c r="V185" i="3"/>
  <c r="V199" i="3"/>
  <c r="V186" i="3"/>
  <c r="AC5" i="3"/>
  <c r="AC9" i="3" s="1"/>
  <c r="AC19" i="3" s="1"/>
  <c r="AD6" i="3"/>
  <c r="V137" i="3"/>
  <c r="V159" i="3" s="1"/>
  <c r="V113" i="3"/>
  <c r="V104" i="3"/>
  <c r="V118" i="3"/>
  <c r="U110" i="3"/>
  <c r="U134" i="3"/>
  <c r="U156" i="3" s="1"/>
  <c r="N224" i="3"/>
  <c r="N208" i="3"/>
  <c r="N209" i="3" s="1"/>
  <c r="N211" i="3" s="1"/>
  <c r="N218" i="3" s="1"/>
  <c r="U130" i="3"/>
  <c r="U152" i="3" s="1"/>
  <c r="V130" i="3" s="1"/>
  <c r="V152" i="3" s="1"/>
  <c r="U106" i="3"/>
  <c r="U131" i="3"/>
  <c r="U153" i="3" s="1"/>
  <c r="U107" i="3"/>
  <c r="U136" i="3"/>
  <c r="U158" i="3" s="1"/>
  <c r="V136" i="3" s="1"/>
  <c r="V158" i="3" s="1"/>
  <c r="U112" i="3"/>
  <c r="U139" i="3"/>
  <c r="U161" i="3" s="1"/>
  <c r="V139" i="3" s="1"/>
  <c r="V161" i="3" s="1"/>
  <c r="U115" i="3"/>
  <c r="V116" i="3"/>
  <c r="Z14" i="3"/>
  <c r="AA10" i="3"/>
  <c r="U142" i="3"/>
  <c r="U164" i="3" s="1"/>
  <c r="V142" i="3" s="1"/>
  <c r="V164" i="3" s="1"/>
  <c r="U118" i="3"/>
  <c r="Y57" i="3"/>
  <c r="Y22" i="3"/>
  <c r="Y33" i="3"/>
  <c r="Y24" i="3"/>
  <c r="Y35" i="3"/>
  <c r="Y31" i="3"/>
  <c r="Y29" i="3"/>
  <c r="V131" i="3"/>
  <c r="V153" i="3" s="1"/>
  <c r="V107" i="3"/>
  <c r="V110" i="3"/>
  <c r="V134" i="3"/>
  <c r="V156" i="3" s="1"/>
  <c r="M220" i="3"/>
  <c r="M223" i="3" s="1"/>
  <c r="M219" i="3"/>
  <c r="U63" i="3"/>
  <c r="U204" i="3"/>
  <c r="U75" i="3"/>
  <c r="U120" i="3"/>
  <c r="U144" i="3"/>
  <c r="U166" i="3" s="1"/>
  <c r="V144" i="3" s="1"/>
  <c r="V166" i="3" s="1"/>
  <c r="X37" i="3"/>
  <c r="V133" i="3"/>
  <c r="V155" i="3" s="1"/>
  <c r="V109" i="3"/>
  <c r="V62" i="3"/>
  <c r="V115" i="3"/>
  <c r="V200" i="3"/>
  <c r="U116" i="3"/>
  <c r="U140" i="3"/>
  <c r="U162" i="3" s="1"/>
  <c r="V140" i="3" s="1"/>
  <c r="V162" i="3" s="1"/>
  <c r="Y26" i="3" l="1"/>
  <c r="X51" i="3"/>
  <c r="W63" i="3"/>
  <c r="X188" i="3"/>
  <c r="X184" i="3"/>
  <c r="X198" i="3"/>
  <c r="X181" i="3"/>
  <c r="X182" i="3"/>
  <c r="X183" i="3"/>
  <c r="X87" i="3"/>
  <c r="X96" i="3"/>
  <c r="X91" i="3"/>
  <c r="X90" i="3"/>
  <c r="X85" i="3"/>
  <c r="X94" i="3"/>
  <c r="X72" i="3"/>
  <c r="X206" i="3" s="1"/>
  <c r="X59" i="3"/>
  <c r="X98" i="3"/>
  <c r="X82" i="3"/>
  <c r="X88" i="3"/>
  <c r="X84" i="3"/>
  <c r="X81" i="3"/>
  <c r="X73" i="3"/>
  <c r="X207" i="3" s="1"/>
  <c r="X60" i="3"/>
  <c r="X55" i="3"/>
  <c r="X93" i="3"/>
  <c r="X58" i="3"/>
  <c r="X67" i="3"/>
  <c r="X56" i="3"/>
  <c r="AD5" i="3"/>
  <c r="AD9" i="3" s="1"/>
  <c r="AD19" i="3" s="1"/>
  <c r="AE6" i="3"/>
  <c r="O224" i="3"/>
  <c r="O208" i="3"/>
  <c r="O209" i="3" s="1"/>
  <c r="O211" i="3" s="1"/>
  <c r="O218" i="3" s="1"/>
  <c r="W130" i="3"/>
  <c r="W152" i="3" s="1"/>
  <c r="W106" i="3"/>
  <c r="W136" i="3"/>
  <c r="W158" i="3" s="1"/>
  <c r="W112" i="3"/>
  <c r="N219" i="3"/>
  <c r="N220" i="3" s="1"/>
  <c r="N223" i="3" s="1"/>
  <c r="P168" i="3"/>
  <c r="Q127" i="3"/>
  <c r="Q149" i="3" s="1"/>
  <c r="U122" i="3"/>
  <c r="U235" i="3" s="1"/>
  <c r="W140" i="3"/>
  <c r="W162" i="3" s="1"/>
  <c r="W116" i="3"/>
  <c r="W137" i="3"/>
  <c r="W159" i="3" s="1"/>
  <c r="W113" i="3"/>
  <c r="W199" i="3"/>
  <c r="W200" i="3" s="1"/>
  <c r="W186" i="3"/>
  <c r="W185" i="3"/>
  <c r="AE68" i="3"/>
  <c r="AF4" i="3"/>
  <c r="W107" i="3"/>
  <c r="W131" i="3"/>
  <c r="W153" i="3" s="1"/>
  <c r="Y37" i="3"/>
  <c r="U185" i="3"/>
  <c r="U199" i="3"/>
  <c r="U200" i="3" s="1"/>
  <c r="U186" i="3"/>
  <c r="U62" i="3"/>
  <c r="AB10" i="3"/>
  <c r="AA14" i="3"/>
  <c r="Z29" i="3"/>
  <c r="Z31" i="3"/>
  <c r="Z33" i="3"/>
  <c r="Z57" i="3"/>
  <c r="Z22" i="3"/>
  <c r="Z35" i="3"/>
  <c r="Z24" i="3"/>
  <c r="W62" i="3"/>
  <c r="W104" i="3"/>
  <c r="W128" i="3"/>
  <c r="W150" i="3" s="1"/>
  <c r="W142" i="3"/>
  <c r="W164" i="3" s="1"/>
  <c r="W118" i="3"/>
  <c r="W103" i="3"/>
  <c r="W204" i="3"/>
  <c r="W75" i="3"/>
  <c r="W110" i="3"/>
  <c r="W134" i="3"/>
  <c r="W156" i="3" s="1"/>
  <c r="V122" i="3"/>
  <c r="V235" i="3" s="1"/>
  <c r="W109" i="3"/>
  <c r="W133" i="3"/>
  <c r="W155" i="3" s="1"/>
  <c r="W115" i="3"/>
  <c r="W139" i="3"/>
  <c r="W161" i="3" s="1"/>
  <c r="P175" i="3"/>
  <c r="P214" i="3" s="1"/>
  <c r="P216" i="3" s="1"/>
  <c r="P174" i="3"/>
  <c r="P173" i="3"/>
  <c r="P177" i="3" s="1"/>
  <c r="Y51" i="3"/>
  <c r="AF7" i="3"/>
  <c r="AF71" i="3" s="1"/>
  <c r="AF69" i="3" s="1"/>
  <c r="AF205" i="3" s="1"/>
  <c r="AG8" i="3"/>
  <c r="W144" i="3"/>
  <c r="W166" i="3" s="1"/>
  <c r="W120" i="3"/>
  <c r="P187" i="3" l="1"/>
  <c r="P190" i="3" s="1"/>
  <c r="P192" i="3" s="1"/>
  <c r="Q172" i="3"/>
  <c r="W122" i="3"/>
  <c r="W235" i="3" s="1"/>
  <c r="AB14" i="3"/>
  <c r="AC10" i="3"/>
  <c r="AF68" i="3"/>
  <c r="AG4" i="3"/>
  <c r="X140" i="3"/>
  <c r="X162" i="3" s="1"/>
  <c r="X116" i="3"/>
  <c r="Y198" i="3"/>
  <c r="Y183" i="3"/>
  <c r="Y188" i="3"/>
  <c r="Y184" i="3"/>
  <c r="Y182" i="3"/>
  <c r="Y181" i="3"/>
  <c r="Y87" i="3"/>
  <c r="Y96" i="3"/>
  <c r="Y91" i="3"/>
  <c r="Y90" i="3"/>
  <c r="Y85" i="3"/>
  <c r="Y94" i="3"/>
  <c r="Y84" i="3"/>
  <c r="Y72" i="3"/>
  <c r="Y206" i="3" s="1"/>
  <c r="Y59" i="3"/>
  <c r="Y98" i="3"/>
  <c r="Y82" i="3"/>
  <c r="Y88" i="3"/>
  <c r="Y81" i="3"/>
  <c r="Y67" i="3"/>
  <c r="Y55" i="3"/>
  <c r="Y93" i="3"/>
  <c r="Y58" i="3"/>
  <c r="Y73" i="3"/>
  <c r="Y207" i="3" s="1"/>
  <c r="Y56" i="3"/>
  <c r="Y60" i="3"/>
  <c r="Z26" i="3"/>
  <c r="X63" i="3"/>
  <c r="X103" i="3"/>
  <c r="X131" i="3"/>
  <c r="X153" i="3" s="1"/>
  <c r="X107" i="3"/>
  <c r="X130" i="3"/>
  <c r="X152" i="3" s="1"/>
  <c r="X106" i="3"/>
  <c r="X136" i="3"/>
  <c r="X158" i="3" s="1"/>
  <c r="X112" i="3"/>
  <c r="X204" i="3"/>
  <c r="X75" i="3"/>
  <c r="X134" i="3"/>
  <c r="X156" i="3" s="1"/>
  <c r="X110" i="3"/>
  <c r="X113" i="3"/>
  <c r="X137" i="3"/>
  <c r="X159" i="3" s="1"/>
  <c r="AA57" i="3"/>
  <c r="AA22" i="3"/>
  <c r="AA35" i="3"/>
  <c r="AA24" i="3"/>
  <c r="AA31" i="3"/>
  <c r="AA29" i="3"/>
  <c r="AA33" i="3"/>
  <c r="Q168" i="3"/>
  <c r="R127" i="3"/>
  <c r="R149" i="3" s="1"/>
  <c r="X128" i="3"/>
  <c r="X150" i="3" s="1"/>
  <c r="X104" i="3"/>
  <c r="X142" i="3"/>
  <c r="X164" i="3" s="1"/>
  <c r="X118" i="3"/>
  <c r="AH8" i="3"/>
  <c r="AG7" i="3"/>
  <c r="AG71" i="3" s="1"/>
  <c r="AG69" i="3" s="1"/>
  <c r="AG205" i="3" s="1"/>
  <c r="AF6" i="3"/>
  <c r="AE5" i="3"/>
  <c r="AE9" i="3" s="1"/>
  <c r="AE19" i="3" s="1"/>
  <c r="Z37" i="3"/>
  <c r="P224" i="3"/>
  <c r="P208" i="3"/>
  <c r="P209" i="3" s="1"/>
  <c r="P211" i="3" s="1"/>
  <c r="P218" i="3" s="1"/>
  <c r="O219" i="3"/>
  <c r="O220" i="3" s="1"/>
  <c r="O223" i="3" s="1"/>
  <c r="X139" i="3"/>
  <c r="X161" i="3" s="1"/>
  <c r="X115" i="3"/>
  <c r="X144" i="3"/>
  <c r="X166" i="3" s="1"/>
  <c r="X120" i="3"/>
  <c r="X109" i="3"/>
  <c r="X133" i="3"/>
  <c r="X155" i="3" s="1"/>
  <c r="AA26" i="3" l="1"/>
  <c r="P219" i="3"/>
  <c r="P220" i="3" s="1"/>
  <c r="P223" i="3" s="1"/>
  <c r="Y63" i="3"/>
  <c r="Y134" i="3"/>
  <c r="Y156" i="3" s="1"/>
  <c r="Y110" i="3"/>
  <c r="Y136" i="3"/>
  <c r="Y158" i="3" s="1"/>
  <c r="Y112" i="3"/>
  <c r="AC14" i="3"/>
  <c r="AD10" i="3"/>
  <c r="Y113" i="3"/>
  <c r="Y137" i="3"/>
  <c r="Y159" i="3" s="1"/>
  <c r="Y144" i="3"/>
  <c r="Y166" i="3" s="1"/>
  <c r="Y120" i="3"/>
  <c r="Y118" i="3"/>
  <c r="Y142" i="3"/>
  <c r="Y164" i="3" s="1"/>
  <c r="R168" i="3"/>
  <c r="S127" i="3"/>
  <c r="S149" i="3" s="1"/>
  <c r="AF5" i="3"/>
  <c r="AF9" i="3" s="1"/>
  <c r="AF19" i="3" s="1"/>
  <c r="AG6" i="3"/>
  <c r="Q224" i="3"/>
  <c r="Q208" i="3"/>
  <c r="Q209" i="3" s="1"/>
  <c r="Q211" i="3" s="1"/>
  <c r="X122" i="3"/>
  <c r="X235" i="3" s="1"/>
  <c r="Y109" i="3"/>
  <c r="Y133" i="3"/>
  <c r="Y155" i="3" s="1"/>
  <c r="Q174" i="3"/>
  <c r="Q173" i="3"/>
  <c r="Q177" i="3"/>
  <c r="Q175" i="3"/>
  <c r="Q214" i="3" s="1"/>
  <c r="Q216" i="3" s="1"/>
  <c r="Y131" i="3"/>
  <c r="Y153" i="3" s="1"/>
  <c r="Y107" i="3"/>
  <c r="Y128" i="3"/>
  <c r="Y150" i="3" s="1"/>
  <c r="Y104" i="3"/>
  <c r="AB57" i="3"/>
  <c r="AB31" i="3"/>
  <c r="AB33" i="3"/>
  <c r="AB35" i="3"/>
  <c r="AB22" i="3"/>
  <c r="AB24" i="3"/>
  <c r="AB29" i="3"/>
  <c r="Y139" i="3"/>
  <c r="Y161" i="3" s="1"/>
  <c r="Y115" i="3"/>
  <c r="Y103" i="3"/>
  <c r="AH7" i="3"/>
  <c r="AH71" i="3" s="1"/>
  <c r="AH69" i="3" s="1"/>
  <c r="AH205" i="3" s="1"/>
  <c r="AI8" i="3"/>
  <c r="X199" i="3"/>
  <c r="X200" i="3" s="1"/>
  <c r="X186" i="3"/>
  <c r="X185" i="3"/>
  <c r="X62" i="3"/>
  <c r="Y130" i="3"/>
  <c r="Y152" i="3" s="1"/>
  <c r="Y106" i="3"/>
  <c r="AA37" i="3"/>
  <c r="AA51" i="3" s="1"/>
  <c r="Z51" i="3"/>
  <c r="Y204" i="3"/>
  <c r="Y75" i="3"/>
  <c r="Y140" i="3"/>
  <c r="Y162" i="3" s="1"/>
  <c r="Y116" i="3"/>
  <c r="AG68" i="3"/>
  <c r="AH4" i="3"/>
  <c r="AB26" i="3" l="1"/>
  <c r="AA183" i="3"/>
  <c r="AA182" i="3"/>
  <c r="AA181" i="3"/>
  <c r="AA188" i="3"/>
  <c r="AA198" i="3"/>
  <c r="AA184" i="3"/>
  <c r="AA90" i="3"/>
  <c r="AA85" i="3"/>
  <c r="AA94" i="3"/>
  <c r="AA84" i="3"/>
  <c r="AA98" i="3"/>
  <c r="AA93" i="3"/>
  <c r="AA88" i="3"/>
  <c r="AA91" i="3"/>
  <c r="AA87" i="3"/>
  <c r="AA82" i="3"/>
  <c r="AA58" i="3"/>
  <c r="AA81" i="3"/>
  <c r="AA96" i="3"/>
  <c r="AA67" i="3"/>
  <c r="AA73" i="3"/>
  <c r="AA207" i="3" s="1"/>
  <c r="AA72" i="3"/>
  <c r="AA206" i="3" s="1"/>
  <c r="AA56" i="3"/>
  <c r="AA63" i="3" s="1"/>
  <c r="AA62" i="3" s="1"/>
  <c r="AA60" i="3"/>
  <c r="AA59" i="3"/>
  <c r="AA55" i="3"/>
  <c r="Y122" i="3"/>
  <c r="Y235" i="3" s="1"/>
  <c r="AH68" i="3"/>
  <c r="AI4" i="3"/>
  <c r="AC57" i="3"/>
  <c r="AC33" i="3"/>
  <c r="AC29" i="3"/>
  <c r="AC35" i="3"/>
  <c r="AC22" i="3"/>
  <c r="AC31" i="3"/>
  <c r="AC24" i="3"/>
  <c r="Q218" i="3"/>
  <c r="AH6" i="3"/>
  <c r="AG5" i="3"/>
  <c r="AG9" i="3" s="1"/>
  <c r="AG19" i="3" s="1"/>
  <c r="Q187" i="3"/>
  <c r="Q190" i="3" s="1"/>
  <c r="Q192" i="3" s="1"/>
  <c r="R172" i="3"/>
  <c r="Y199" i="3"/>
  <c r="Y200" i="3" s="1"/>
  <c r="Y186" i="3"/>
  <c r="Y185" i="3"/>
  <c r="Y62" i="3"/>
  <c r="Z198" i="3"/>
  <c r="Z188" i="3"/>
  <c r="Z184" i="3"/>
  <c r="Z183" i="3"/>
  <c r="Z182" i="3"/>
  <c r="Z181" i="3"/>
  <c r="Z96" i="3"/>
  <c r="Z91" i="3"/>
  <c r="Z90" i="3"/>
  <c r="Z94" i="3"/>
  <c r="Z98" i="3"/>
  <c r="Z93" i="3"/>
  <c r="Z88" i="3"/>
  <c r="Z87" i="3"/>
  <c r="Z82" i="3"/>
  <c r="Z58" i="3"/>
  <c r="Z85" i="3"/>
  <c r="Z81" i="3"/>
  <c r="Z84" i="3"/>
  <c r="Z67" i="3"/>
  <c r="Z73" i="3"/>
  <c r="Z207" i="3" s="1"/>
  <c r="Z59" i="3"/>
  <c r="Z72" i="3"/>
  <c r="Z206" i="3" s="1"/>
  <c r="Z56" i="3"/>
  <c r="Z60" i="3"/>
  <c r="Z55" i="3"/>
  <c r="AB37" i="3"/>
  <c r="AB51" i="3" s="1"/>
  <c r="S168" i="3"/>
  <c r="T127" i="3"/>
  <c r="T149" i="3" s="1"/>
  <c r="AJ8" i="3"/>
  <c r="AI7" i="3"/>
  <c r="AI71" i="3" s="1"/>
  <c r="AI69" i="3" s="1"/>
  <c r="AI205" i="3" s="1"/>
  <c r="R224" i="3"/>
  <c r="R208" i="3"/>
  <c r="R209" i="3" s="1"/>
  <c r="R211" i="3" s="1"/>
  <c r="AE10" i="3"/>
  <c r="AD14" i="3"/>
  <c r="AC26" i="3" l="1"/>
  <c r="AB188" i="3"/>
  <c r="AB184" i="3"/>
  <c r="AB198" i="3"/>
  <c r="AB183" i="3"/>
  <c r="AB182" i="3"/>
  <c r="AB181" i="3"/>
  <c r="AB90" i="3"/>
  <c r="AB85" i="3"/>
  <c r="AB94" i="3"/>
  <c r="AB98" i="3"/>
  <c r="AB93" i="3"/>
  <c r="AB88" i="3"/>
  <c r="AB87" i="3"/>
  <c r="AB81" i="3"/>
  <c r="AB96" i="3"/>
  <c r="AB67" i="3"/>
  <c r="AB84" i="3"/>
  <c r="AB73" i="3"/>
  <c r="AB207" i="3" s="1"/>
  <c r="AB72" i="3"/>
  <c r="AB206" i="3" s="1"/>
  <c r="AB58" i="3"/>
  <c r="AB60" i="3"/>
  <c r="AB55" i="3"/>
  <c r="AB59" i="3"/>
  <c r="AB56" i="3"/>
  <c r="AB91" i="3"/>
  <c r="AB82" i="3"/>
  <c r="AA107" i="3"/>
  <c r="Z204" i="3"/>
  <c r="Z75" i="3"/>
  <c r="AA109" i="3"/>
  <c r="AA112" i="3"/>
  <c r="AE14" i="3"/>
  <c r="AF10" i="3"/>
  <c r="Z130" i="3"/>
  <c r="Z152" i="3" s="1"/>
  <c r="Z106" i="3"/>
  <c r="Z144" i="3"/>
  <c r="Z166" i="3" s="1"/>
  <c r="AA144" i="3" s="1"/>
  <c r="AA166" i="3" s="1"/>
  <c r="Z120" i="3"/>
  <c r="AI68" i="3"/>
  <c r="AJ4" i="3"/>
  <c r="AA113" i="3"/>
  <c r="Z103" i="3"/>
  <c r="Z140" i="3"/>
  <c r="Z162" i="3" s="1"/>
  <c r="Z116" i="3"/>
  <c r="R174" i="3"/>
  <c r="R173" i="3"/>
  <c r="R177" i="3"/>
  <c r="R175" i="3"/>
  <c r="R214" i="3" s="1"/>
  <c r="R216" i="3" s="1"/>
  <c r="R218" i="3" s="1"/>
  <c r="AA110" i="3"/>
  <c r="S224" i="3"/>
  <c r="S208" i="3"/>
  <c r="S209" i="3" s="1"/>
  <c r="S211" i="3" s="1"/>
  <c r="AA104" i="3"/>
  <c r="Z107" i="3"/>
  <c r="Z131" i="3"/>
  <c r="Z153" i="3" s="1"/>
  <c r="AA131" i="3" s="1"/>
  <c r="AA153" i="3" s="1"/>
  <c r="Z112" i="3"/>
  <c r="Z136" i="3"/>
  <c r="Z158" i="3" s="1"/>
  <c r="AA136" i="3" s="1"/>
  <c r="AA158" i="3" s="1"/>
  <c r="AA204" i="3"/>
  <c r="AA75" i="3"/>
  <c r="AA115" i="3"/>
  <c r="AD33" i="3"/>
  <c r="AD57" i="3"/>
  <c r="AD29" i="3"/>
  <c r="AD22" i="3"/>
  <c r="AD31" i="3"/>
  <c r="AD35" i="3"/>
  <c r="AD24" i="3"/>
  <c r="Q219" i="3"/>
  <c r="Q220" i="3" s="1"/>
  <c r="Q223" i="3" s="1"/>
  <c r="Z63" i="3"/>
  <c r="Z113" i="3"/>
  <c r="Z137" i="3"/>
  <c r="Z159" i="3" s="1"/>
  <c r="AA137" i="3" s="1"/>
  <c r="AA159" i="3" s="1"/>
  <c r="AA118" i="3"/>
  <c r="AA120" i="3"/>
  <c r="AA199" i="3"/>
  <c r="AA200" i="3" s="1"/>
  <c r="AA186" i="3"/>
  <c r="AA185" i="3"/>
  <c r="AJ7" i="3"/>
  <c r="AJ71" i="3" s="1"/>
  <c r="AJ69" i="3" s="1"/>
  <c r="AJ205" i="3" s="1"/>
  <c r="AK8" i="3"/>
  <c r="Z128" i="3"/>
  <c r="Z150" i="3" s="1"/>
  <c r="AA128" i="3" s="1"/>
  <c r="AA150" i="3" s="1"/>
  <c r="Z104" i="3"/>
  <c r="Z118" i="3"/>
  <c r="Z142" i="3"/>
  <c r="Z164" i="3" s="1"/>
  <c r="AA142" i="3" s="1"/>
  <c r="AA164" i="3" s="1"/>
  <c r="AC37" i="3"/>
  <c r="AC51" i="3" s="1"/>
  <c r="AA103" i="3"/>
  <c r="AA106" i="3"/>
  <c r="AA130" i="3"/>
  <c r="AA152" i="3" s="1"/>
  <c r="Z134" i="3"/>
  <c r="Z156" i="3" s="1"/>
  <c r="AA134" i="3" s="1"/>
  <c r="AA156" i="3" s="1"/>
  <c r="Z110" i="3"/>
  <c r="Z139" i="3"/>
  <c r="Z161" i="3" s="1"/>
  <c r="AA139" i="3" s="1"/>
  <c r="AA161" i="3" s="1"/>
  <c r="Z115" i="3"/>
  <c r="T168" i="3"/>
  <c r="U127" i="3"/>
  <c r="U149" i="3" s="1"/>
  <c r="Z133" i="3"/>
  <c r="Z155" i="3" s="1"/>
  <c r="AA133" i="3" s="1"/>
  <c r="AA155" i="3" s="1"/>
  <c r="Z109" i="3"/>
  <c r="AH5" i="3"/>
  <c r="AH9" i="3" s="1"/>
  <c r="AH19" i="3" s="1"/>
  <c r="AI6" i="3"/>
  <c r="AA116" i="3"/>
  <c r="AA140" i="3"/>
  <c r="AA162" i="3" s="1"/>
  <c r="R219" i="3" l="1"/>
  <c r="R220" i="3"/>
  <c r="R223" i="3" s="1"/>
  <c r="AC198" i="3"/>
  <c r="AC188" i="3"/>
  <c r="AC184" i="3"/>
  <c r="AC183" i="3"/>
  <c r="AC182" i="3"/>
  <c r="AC181" i="3"/>
  <c r="AC94" i="3"/>
  <c r="AC98" i="3"/>
  <c r="AC93" i="3"/>
  <c r="AC88" i="3"/>
  <c r="AC87" i="3"/>
  <c r="AC96" i="3"/>
  <c r="AC91" i="3"/>
  <c r="AC90" i="3"/>
  <c r="AC81" i="3"/>
  <c r="AC67" i="3"/>
  <c r="AC85" i="3"/>
  <c r="AC84" i="3"/>
  <c r="AC73" i="3"/>
  <c r="AC207" i="3" s="1"/>
  <c r="AC72" i="3"/>
  <c r="AC206" i="3" s="1"/>
  <c r="AC56" i="3"/>
  <c r="AC55" i="3"/>
  <c r="AC59" i="3"/>
  <c r="AC82" i="3"/>
  <c r="AC60" i="3"/>
  <c r="AC58" i="3"/>
  <c r="AB142" i="3"/>
  <c r="AB164" i="3" s="1"/>
  <c r="AB118" i="3"/>
  <c r="AB107" i="3"/>
  <c r="AB131" i="3"/>
  <c r="AB153" i="3" s="1"/>
  <c r="AB112" i="3"/>
  <c r="AB136" i="3"/>
  <c r="AB158" i="3" s="1"/>
  <c r="U168" i="3"/>
  <c r="V127" i="3"/>
  <c r="V149" i="3" s="1"/>
  <c r="AG10" i="3"/>
  <c r="AF14" i="3"/>
  <c r="AB133" i="3"/>
  <c r="AB155" i="3" s="1"/>
  <c r="AB109" i="3"/>
  <c r="AA122" i="3"/>
  <c r="AA235" i="3" s="1"/>
  <c r="AD26" i="3"/>
  <c r="AE57" i="3"/>
  <c r="AE31" i="3"/>
  <c r="AE35" i="3"/>
  <c r="AE22" i="3"/>
  <c r="AE33" i="3"/>
  <c r="AE29" i="3"/>
  <c r="AE37" i="3" s="1"/>
  <c r="AE24" i="3"/>
  <c r="AB134" i="3"/>
  <c r="AB156" i="3" s="1"/>
  <c r="AB110" i="3"/>
  <c r="AL8" i="3"/>
  <c r="AK7" i="3"/>
  <c r="AK71" i="3" s="1"/>
  <c r="AK69" i="3" s="1"/>
  <c r="AK205" i="3" s="1"/>
  <c r="AJ6" i="3"/>
  <c r="AI5" i="3"/>
  <c r="AI9" i="3" s="1"/>
  <c r="AI19" i="3" s="1"/>
  <c r="AD37" i="3"/>
  <c r="AJ68" i="3"/>
  <c r="AK4" i="3"/>
  <c r="AB128" i="3"/>
  <c r="AB150" i="3" s="1"/>
  <c r="AB104" i="3"/>
  <c r="AB139" i="3"/>
  <c r="AB161" i="3" s="1"/>
  <c r="AB115" i="3"/>
  <c r="R187" i="3"/>
  <c r="R190" i="3" s="1"/>
  <c r="R192" i="3" s="1"/>
  <c r="S172" i="3"/>
  <c r="AB103" i="3"/>
  <c r="T224" i="3"/>
  <c r="T208" i="3"/>
  <c r="T209" i="3" s="1"/>
  <c r="T211" i="3" s="1"/>
  <c r="Z199" i="3"/>
  <c r="Z200" i="3" s="1"/>
  <c r="Z186" i="3"/>
  <c r="Z185" i="3"/>
  <c r="Z62" i="3"/>
  <c r="AB137" i="3"/>
  <c r="AB159" i="3" s="1"/>
  <c r="AB113" i="3"/>
  <c r="AB130" i="3"/>
  <c r="AB152" i="3" s="1"/>
  <c r="AB106" i="3"/>
  <c r="AB144" i="3"/>
  <c r="AB166" i="3" s="1"/>
  <c r="AB120" i="3"/>
  <c r="Z122" i="3"/>
  <c r="Z235" i="3" s="1"/>
  <c r="AB63" i="3"/>
  <c r="AB204" i="3"/>
  <c r="AB75" i="3"/>
  <c r="AB140" i="3"/>
  <c r="AB162" i="3" s="1"/>
  <c r="AB116" i="3"/>
  <c r="AD51" i="3" l="1"/>
  <c r="AC142" i="3"/>
  <c r="AC164" i="3" s="1"/>
  <c r="AC118" i="3"/>
  <c r="AD198" i="3"/>
  <c r="AD188" i="3"/>
  <c r="AD184" i="3"/>
  <c r="AD183" i="3"/>
  <c r="AD182" i="3"/>
  <c r="AD181" i="3"/>
  <c r="AD84" i="3"/>
  <c r="AD98" i="3"/>
  <c r="AD93" i="3"/>
  <c r="AD88" i="3"/>
  <c r="AD87" i="3"/>
  <c r="AD96" i="3"/>
  <c r="AD91" i="3"/>
  <c r="AD67" i="3"/>
  <c r="AD85" i="3"/>
  <c r="AD73" i="3"/>
  <c r="AD207" i="3" s="1"/>
  <c r="AD60" i="3"/>
  <c r="AD72" i="3"/>
  <c r="AD206" i="3" s="1"/>
  <c r="AD94" i="3"/>
  <c r="AD82" i="3"/>
  <c r="AD56" i="3"/>
  <c r="AD59" i="3"/>
  <c r="AD58" i="3"/>
  <c r="AD90" i="3"/>
  <c r="AD55" i="3"/>
  <c r="AD81" i="3"/>
  <c r="V168" i="3"/>
  <c r="W127" i="3"/>
  <c r="W149" i="3" s="1"/>
  <c r="AC130" i="3"/>
  <c r="AC152" i="3" s="1"/>
  <c r="AC106" i="3"/>
  <c r="AC109" i="3"/>
  <c r="AC133" i="3"/>
  <c r="AC155" i="3" s="1"/>
  <c r="U224" i="3"/>
  <c r="U208" i="3"/>
  <c r="U209" i="3" s="1"/>
  <c r="U211" i="3" s="1"/>
  <c r="AK6" i="3"/>
  <c r="AJ5" i="3"/>
  <c r="AJ9" i="3" s="1"/>
  <c r="AJ19" i="3" s="1"/>
  <c r="AC104" i="3"/>
  <c r="AC128" i="3"/>
  <c r="AC150" i="3" s="1"/>
  <c r="AC204" i="3"/>
  <c r="AC75" i="3"/>
  <c r="AC115" i="3"/>
  <c r="AC139" i="3"/>
  <c r="AC161" i="3" s="1"/>
  <c r="AC131" i="3"/>
  <c r="AC153" i="3" s="1"/>
  <c r="AC107" i="3"/>
  <c r="AE26" i="3"/>
  <c r="AE51" i="3" s="1"/>
  <c r="AC144" i="3"/>
  <c r="AC166" i="3" s="1"/>
  <c r="AC120" i="3"/>
  <c r="AC134" i="3"/>
  <c r="AC156" i="3" s="1"/>
  <c r="AC110" i="3"/>
  <c r="AC103" i="3"/>
  <c r="AC116" i="3"/>
  <c r="AC140" i="3"/>
  <c r="AC162" i="3" s="1"/>
  <c r="AF35" i="3"/>
  <c r="AF57" i="3"/>
  <c r="AF31" i="3"/>
  <c r="AF29" i="3"/>
  <c r="AF33" i="3"/>
  <c r="AF22" i="3"/>
  <c r="AF24" i="3"/>
  <c r="AK68" i="3"/>
  <c r="AL4" i="3"/>
  <c r="AM8" i="3"/>
  <c r="AL7" i="3"/>
  <c r="AL71" i="3" s="1"/>
  <c r="AL69" i="3" s="1"/>
  <c r="AL205" i="3" s="1"/>
  <c r="AG14" i="3"/>
  <c r="AH10" i="3"/>
  <c r="AC63" i="3"/>
  <c r="AC136" i="3"/>
  <c r="AC158" i="3" s="1"/>
  <c r="AC112" i="3"/>
  <c r="AB122" i="3"/>
  <c r="AB235" i="3" s="1"/>
  <c r="AB199" i="3"/>
  <c r="AB200" i="3" s="1"/>
  <c r="AB186" i="3"/>
  <c r="AB185" i="3"/>
  <c r="AB62" i="3"/>
  <c r="S173" i="3"/>
  <c r="S175" i="3"/>
  <c r="S214" i="3" s="1"/>
  <c r="S216" i="3" s="1"/>
  <c r="S218" i="3" s="1"/>
  <c r="S174" i="3"/>
  <c r="S177" i="3" s="1"/>
  <c r="AC137" i="3"/>
  <c r="AC159" i="3" s="1"/>
  <c r="AC113" i="3"/>
  <c r="AF26" i="3" l="1"/>
  <c r="T172" i="3"/>
  <c r="S187" i="3"/>
  <c r="S190" i="3" s="1"/>
  <c r="S192" i="3" s="1"/>
  <c r="AM7" i="3"/>
  <c r="AM71" i="3" s="1"/>
  <c r="AM69" i="3" s="1"/>
  <c r="AM205" i="3" s="1"/>
  <c r="AN8" i="3"/>
  <c r="S219" i="3"/>
  <c r="S220" i="3" s="1"/>
  <c r="S223" i="3" s="1"/>
  <c r="AD142" i="3"/>
  <c r="AD164" i="3" s="1"/>
  <c r="AD118" i="3"/>
  <c r="AD103" i="3"/>
  <c r="AD140" i="3"/>
  <c r="AD162" i="3" s="1"/>
  <c r="AD116" i="3"/>
  <c r="AD133" i="3"/>
  <c r="AD155" i="3" s="1"/>
  <c r="AD109" i="3"/>
  <c r="AL68" i="3"/>
  <c r="AM4" i="3"/>
  <c r="AD128" i="3"/>
  <c r="AD150" i="3" s="1"/>
  <c r="AD104" i="3"/>
  <c r="AD110" i="3"/>
  <c r="AD134" i="3"/>
  <c r="AD156" i="3" s="1"/>
  <c r="AD137" i="3"/>
  <c r="AD159" i="3" s="1"/>
  <c r="AD113" i="3"/>
  <c r="V224" i="3"/>
  <c r="V208" i="3"/>
  <c r="V209" i="3" s="1"/>
  <c r="V211" i="3" s="1"/>
  <c r="AC199" i="3"/>
  <c r="AC200" i="3" s="1"/>
  <c r="AC185" i="3"/>
  <c r="AC186" i="3"/>
  <c r="AC62" i="3"/>
  <c r="AD136" i="3"/>
  <c r="AD158" i="3" s="1"/>
  <c r="AD112" i="3"/>
  <c r="AD115" i="3"/>
  <c r="AD139" i="3"/>
  <c r="AD161" i="3" s="1"/>
  <c r="W168" i="3"/>
  <c r="X127" i="3"/>
  <c r="X149" i="3" s="1"/>
  <c r="AE188" i="3"/>
  <c r="AE184" i="3"/>
  <c r="AE183" i="3"/>
  <c r="AE181" i="3"/>
  <c r="AE198" i="3"/>
  <c r="AE182" i="3"/>
  <c r="AE98" i="3"/>
  <c r="AE93" i="3"/>
  <c r="AE88" i="3"/>
  <c r="AE96" i="3"/>
  <c r="AE91" i="3"/>
  <c r="AE90" i="3"/>
  <c r="AE85" i="3"/>
  <c r="AE73" i="3"/>
  <c r="AE207" i="3" s="1"/>
  <c r="AE60" i="3"/>
  <c r="AE84" i="3"/>
  <c r="AE72" i="3"/>
  <c r="AE206" i="3" s="1"/>
  <c r="AE94" i="3"/>
  <c r="AE82" i="3"/>
  <c r="AE56" i="3"/>
  <c r="AE55" i="3"/>
  <c r="AE58" i="3"/>
  <c r="AE81" i="3"/>
  <c r="AE67" i="3"/>
  <c r="AE59" i="3"/>
  <c r="AE87" i="3"/>
  <c r="AD144" i="3"/>
  <c r="AD166" i="3" s="1"/>
  <c r="AD120" i="3"/>
  <c r="AK5" i="3"/>
  <c r="AK9" i="3" s="1"/>
  <c r="AK19" i="3" s="1"/>
  <c r="AL6" i="3"/>
  <c r="AH14" i="3"/>
  <c r="AI10" i="3"/>
  <c r="AG57" i="3"/>
  <c r="AG29" i="3"/>
  <c r="AG22" i="3"/>
  <c r="AG33" i="3"/>
  <c r="AG24" i="3"/>
  <c r="AG31" i="3"/>
  <c r="AG35" i="3"/>
  <c r="AD131" i="3"/>
  <c r="AD153" i="3" s="1"/>
  <c r="AD107" i="3"/>
  <c r="AD130" i="3"/>
  <c r="AD152" i="3" s="1"/>
  <c r="AD106" i="3"/>
  <c r="AF37" i="3"/>
  <c r="AF51" i="3" s="1"/>
  <c r="AC122" i="3"/>
  <c r="AC235" i="3" s="1"/>
  <c r="AD63" i="3"/>
  <c r="AD204" i="3"/>
  <c r="AD75" i="3"/>
  <c r="AF188" i="3" l="1"/>
  <c r="AF184" i="3"/>
  <c r="AF198" i="3"/>
  <c r="AF183" i="3"/>
  <c r="AF181" i="3"/>
  <c r="AF182" i="3"/>
  <c r="AF87" i="3"/>
  <c r="AF96" i="3"/>
  <c r="AF91" i="3"/>
  <c r="AF90" i="3"/>
  <c r="AF85" i="3"/>
  <c r="AF94" i="3"/>
  <c r="AF98" i="3"/>
  <c r="AF84" i="3"/>
  <c r="AF72" i="3"/>
  <c r="AF206" i="3" s="1"/>
  <c r="AF59" i="3"/>
  <c r="AF88" i="3"/>
  <c r="AF82" i="3"/>
  <c r="AF93" i="3"/>
  <c r="AF81" i="3"/>
  <c r="AF55" i="3"/>
  <c r="AF67" i="3"/>
  <c r="AF60" i="3"/>
  <c r="AF58" i="3"/>
  <c r="AF73" i="3"/>
  <c r="AF207" i="3" s="1"/>
  <c r="AF56" i="3"/>
  <c r="AD185" i="3"/>
  <c r="AD186" i="3"/>
  <c r="AD199" i="3"/>
  <c r="AD200" i="3" s="1"/>
  <c r="AD62" i="3"/>
  <c r="AJ10" i="3"/>
  <c r="AI14" i="3"/>
  <c r="AE136" i="3"/>
  <c r="AE158" i="3" s="1"/>
  <c r="AE112" i="3"/>
  <c r="AH29" i="3"/>
  <c r="AH31" i="3"/>
  <c r="AH33" i="3"/>
  <c r="AH57" i="3"/>
  <c r="AH22" i="3"/>
  <c r="AH35" i="3"/>
  <c r="AH24" i="3"/>
  <c r="AE109" i="3"/>
  <c r="AE133" i="3"/>
  <c r="AE155" i="3" s="1"/>
  <c r="AE104" i="3"/>
  <c r="AE128" i="3"/>
  <c r="AE150" i="3" s="1"/>
  <c r="AE137" i="3"/>
  <c r="AE159" i="3" s="1"/>
  <c r="AE113" i="3"/>
  <c r="AE140" i="3"/>
  <c r="AE162" i="3" s="1"/>
  <c r="AE116" i="3"/>
  <c r="AM6" i="3"/>
  <c r="AL5" i="3"/>
  <c r="AL9" i="3" s="1"/>
  <c r="AL19" i="3" s="1"/>
  <c r="AE204" i="3"/>
  <c r="AE75" i="3"/>
  <c r="AE110" i="3"/>
  <c r="AE134" i="3"/>
  <c r="AE156" i="3" s="1"/>
  <c r="AE103" i="3"/>
  <c r="X168" i="3"/>
  <c r="Y127" i="3"/>
  <c r="Y149" i="3" s="1"/>
  <c r="AO8" i="3"/>
  <c r="AN7" i="3"/>
  <c r="AN71" i="3" s="1"/>
  <c r="AN69" i="3" s="1"/>
  <c r="AN205" i="3" s="1"/>
  <c r="AE130" i="3"/>
  <c r="AE152" i="3" s="1"/>
  <c r="AE106" i="3"/>
  <c r="AE115" i="3"/>
  <c r="AE139" i="3"/>
  <c r="AE161" i="3" s="1"/>
  <c r="AG26" i="3"/>
  <c r="AE144" i="3"/>
  <c r="AE166" i="3" s="1"/>
  <c r="AE120" i="3"/>
  <c r="W224" i="3"/>
  <c r="W208" i="3"/>
  <c r="W209" i="3" s="1"/>
  <c r="W211" i="3" s="1"/>
  <c r="AD122" i="3"/>
  <c r="AD235" i="3" s="1"/>
  <c r="AG37" i="3"/>
  <c r="AE142" i="3"/>
  <c r="AE164" i="3" s="1"/>
  <c r="AE118" i="3"/>
  <c r="AE63" i="3"/>
  <c r="AE131" i="3"/>
  <c r="AE153" i="3" s="1"/>
  <c r="AE107" i="3"/>
  <c r="AM68" i="3"/>
  <c r="AN4" i="3"/>
  <c r="T173" i="3"/>
  <c r="T177" i="3" s="1"/>
  <c r="T175" i="3"/>
  <c r="T214" i="3" s="1"/>
  <c r="T216" i="3" s="1"/>
  <c r="T218" i="3" s="1"/>
  <c r="T174" i="3"/>
  <c r="AG51" i="3" l="1"/>
  <c r="T187" i="3"/>
  <c r="T190" i="3" s="1"/>
  <c r="T192" i="3" s="1"/>
  <c r="U172" i="3"/>
  <c r="AF109" i="3"/>
  <c r="AF133" i="3"/>
  <c r="AF155" i="3" s="1"/>
  <c r="AP8" i="3"/>
  <c r="AO7" i="3"/>
  <c r="AO71" i="3" s="1"/>
  <c r="AO69" i="3" s="1"/>
  <c r="AO205" i="3" s="1"/>
  <c r="AF204" i="3"/>
  <c r="AF75" i="3"/>
  <c r="AF130" i="3"/>
  <c r="AF152" i="3" s="1"/>
  <c r="AF106" i="3"/>
  <c r="Y168" i="3"/>
  <c r="Z127" i="3"/>
  <c r="Z149" i="3" s="1"/>
  <c r="AH37" i="3"/>
  <c r="AF144" i="3"/>
  <c r="AF166" i="3" s="1"/>
  <c r="AF120" i="3"/>
  <c r="AG183" i="3"/>
  <c r="AG198" i="3"/>
  <c r="AG184" i="3"/>
  <c r="AG188" i="3"/>
  <c r="AG181" i="3"/>
  <c r="AG182" i="3"/>
  <c r="AG87" i="3"/>
  <c r="AG96" i="3"/>
  <c r="AG91" i="3"/>
  <c r="AG90" i="3"/>
  <c r="AG85" i="3"/>
  <c r="AG94" i="3"/>
  <c r="AG84" i="3"/>
  <c r="AG72" i="3"/>
  <c r="AG206" i="3" s="1"/>
  <c r="AG59" i="3"/>
  <c r="AG88" i="3"/>
  <c r="AG82" i="3"/>
  <c r="AG93" i="3"/>
  <c r="AG81" i="3"/>
  <c r="AG67" i="3"/>
  <c r="AG98" i="3"/>
  <c r="AG55" i="3"/>
  <c r="AG60" i="3"/>
  <c r="AG73" i="3"/>
  <c r="AG207" i="3" s="1"/>
  <c r="AG56" i="3"/>
  <c r="AG58" i="3"/>
  <c r="X224" i="3"/>
  <c r="X208" i="3"/>
  <c r="X209" i="3" s="1"/>
  <c r="X211" i="3" s="1"/>
  <c r="AF103" i="3"/>
  <c r="AF140" i="3"/>
  <c r="AF162" i="3" s="1"/>
  <c r="AF116" i="3"/>
  <c r="AJ14" i="3"/>
  <c r="AK10" i="3"/>
  <c r="AN6" i="3"/>
  <c r="AM5" i="3"/>
  <c r="AM9" i="3" s="1"/>
  <c r="AM19" i="3" s="1"/>
  <c r="AF139" i="3"/>
  <c r="AF161" i="3" s="1"/>
  <c r="AF115" i="3"/>
  <c r="AF131" i="3"/>
  <c r="AF153" i="3" s="1"/>
  <c r="AF107" i="3"/>
  <c r="T219" i="3"/>
  <c r="T220" i="3" s="1"/>
  <c r="T223" i="3" s="1"/>
  <c r="AE122" i="3"/>
  <c r="AE235" i="3" s="1"/>
  <c r="AF63" i="3"/>
  <c r="AF128" i="3"/>
  <c r="AF150" i="3" s="1"/>
  <c r="AF104" i="3"/>
  <c r="AF136" i="3"/>
  <c r="AF158" i="3" s="1"/>
  <c r="AF112" i="3"/>
  <c r="AF142" i="3"/>
  <c r="AF164" i="3" s="1"/>
  <c r="AF118" i="3"/>
  <c r="AN68" i="3"/>
  <c r="AO4" i="3"/>
  <c r="AE199" i="3"/>
  <c r="AE200" i="3" s="1"/>
  <c r="AE186" i="3"/>
  <c r="AE185" i="3"/>
  <c r="AE62" i="3"/>
  <c r="AH26" i="3"/>
  <c r="AH51" i="3" s="1"/>
  <c r="AI57" i="3"/>
  <c r="AI22" i="3"/>
  <c r="AI35" i="3"/>
  <c r="AI24" i="3"/>
  <c r="AI31" i="3"/>
  <c r="AI33" i="3"/>
  <c r="AI29" i="3"/>
  <c r="AF134" i="3"/>
  <c r="AF156" i="3" s="1"/>
  <c r="AF110" i="3"/>
  <c r="AF137" i="3"/>
  <c r="AF159" i="3" s="1"/>
  <c r="AF113" i="3"/>
  <c r="AG144" i="3" l="1"/>
  <c r="AG166" i="3" s="1"/>
  <c r="AG120" i="3"/>
  <c r="AI37" i="3"/>
  <c r="AO6" i="3"/>
  <c r="AN5" i="3"/>
  <c r="AN9" i="3" s="1"/>
  <c r="AN19" i="3" s="1"/>
  <c r="AG204" i="3"/>
  <c r="AG75" i="3"/>
  <c r="AG140" i="3"/>
  <c r="AG162" i="3" s="1"/>
  <c r="AG116" i="3"/>
  <c r="AL10" i="3"/>
  <c r="AK14" i="3"/>
  <c r="AG103" i="3"/>
  <c r="AG107" i="3"/>
  <c r="AG131" i="3"/>
  <c r="AG153" i="3" s="1"/>
  <c r="Z168" i="3"/>
  <c r="AA127" i="3"/>
  <c r="AA149" i="3" s="1"/>
  <c r="AJ57" i="3"/>
  <c r="AJ31" i="3"/>
  <c r="AJ33" i="3"/>
  <c r="AJ22" i="3"/>
  <c r="AJ35" i="3"/>
  <c r="AJ24" i="3"/>
  <c r="AJ29" i="3"/>
  <c r="AG63" i="3"/>
  <c r="AG139" i="3"/>
  <c r="AG161" i="3" s="1"/>
  <c r="AG115" i="3"/>
  <c r="AG136" i="3"/>
  <c r="AG158" i="3" s="1"/>
  <c r="AG112" i="3"/>
  <c r="Y224" i="3"/>
  <c r="Y208" i="3"/>
  <c r="Y209" i="3" s="1"/>
  <c r="Y211" i="3" s="1"/>
  <c r="AP7" i="3"/>
  <c r="AP71" i="3" s="1"/>
  <c r="AP69" i="3" s="1"/>
  <c r="AP205" i="3" s="1"/>
  <c r="AQ8" i="3"/>
  <c r="AG130" i="3"/>
  <c r="AG152" i="3" s="1"/>
  <c r="AG106" i="3"/>
  <c r="AG128" i="3"/>
  <c r="AG150" i="3" s="1"/>
  <c r="AG104" i="3"/>
  <c r="AG137" i="3"/>
  <c r="AG159" i="3" s="1"/>
  <c r="AG113" i="3"/>
  <c r="AG134" i="3"/>
  <c r="AG156" i="3" s="1"/>
  <c r="AG110" i="3"/>
  <c r="AG118" i="3"/>
  <c r="AG142" i="3"/>
  <c r="AG164" i="3" s="1"/>
  <c r="AI26" i="3"/>
  <c r="AI51" i="3" s="1"/>
  <c r="AO68" i="3"/>
  <c r="AP4" i="3"/>
  <c r="AF199" i="3"/>
  <c r="AF200" i="3" s="1"/>
  <c r="AF186" i="3"/>
  <c r="AF185" i="3"/>
  <c r="AF62" i="3"/>
  <c r="AF122" i="3"/>
  <c r="AF235" i="3" s="1"/>
  <c r="AG109" i="3"/>
  <c r="AG133" i="3"/>
  <c r="AG155" i="3" s="1"/>
  <c r="U175" i="3"/>
  <c r="U214" i="3" s="1"/>
  <c r="U216" i="3" s="1"/>
  <c r="U218" i="3" s="1"/>
  <c r="U174" i="3"/>
  <c r="U173" i="3"/>
  <c r="AH198" i="3"/>
  <c r="AH188" i="3"/>
  <c r="AH184" i="3"/>
  <c r="AH182" i="3"/>
  <c r="AH181" i="3"/>
  <c r="AH183" i="3"/>
  <c r="AH96" i="3"/>
  <c r="AH91" i="3"/>
  <c r="AH90" i="3"/>
  <c r="AH94" i="3"/>
  <c r="AH98" i="3"/>
  <c r="AH93" i="3"/>
  <c r="AH88" i="3"/>
  <c r="AH85" i="3"/>
  <c r="AH82" i="3"/>
  <c r="AH58" i="3"/>
  <c r="AH81" i="3"/>
  <c r="AH67" i="3"/>
  <c r="AH73" i="3"/>
  <c r="AH207" i="3" s="1"/>
  <c r="AH60" i="3"/>
  <c r="AH59" i="3"/>
  <c r="AH56" i="3"/>
  <c r="AH87" i="3"/>
  <c r="AH55" i="3"/>
  <c r="AH84" i="3"/>
  <c r="AH72" i="3"/>
  <c r="AH206" i="3" s="1"/>
  <c r="U177" i="3" l="1"/>
  <c r="U187" i="3"/>
  <c r="U190" i="3" s="1"/>
  <c r="U192" i="3" s="1"/>
  <c r="V172" i="3"/>
  <c r="AH103" i="3"/>
  <c r="AH63" i="3"/>
  <c r="AH128" i="3"/>
  <c r="AH150" i="3" s="1"/>
  <c r="AH104" i="3"/>
  <c r="AH118" i="3"/>
  <c r="AH142" i="3"/>
  <c r="AH164" i="3" s="1"/>
  <c r="AJ26" i="3"/>
  <c r="AH133" i="3"/>
  <c r="AH155" i="3" s="1"/>
  <c r="AH109" i="3"/>
  <c r="U219" i="3"/>
  <c r="U220" i="3" s="1"/>
  <c r="U223" i="3" s="1"/>
  <c r="AG122" i="3"/>
  <c r="AG235" i="3" s="1"/>
  <c r="AH107" i="3"/>
  <c r="AH131" i="3"/>
  <c r="AH153" i="3" s="1"/>
  <c r="AH110" i="3"/>
  <c r="AH134" i="3"/>
  <c r="AH156" i="3" s="1"/>
  <c r="AP68" i="3"/>
  <c r="AQ4" i="3"/>
  <c r="AK57" i="3"/>
  <c r="AK29" i="3"/>
  <c r="AK33" i="3"/>
  <c r="AK31" i="3"/>
  <c r="AK35" i="3"/>
  <c r="AK22" i="3"/>
  <c r="AK24" i="3"/>
  <c r="AO5" i="3"/>
  <c r="AO9" i="3" s="1"/>
  <c r="AO19" i="3" s="1"/>
  <c r="AP6" i="3"/>
  <c r="AH136" i="3"/>
  <c r="AH158" i="3" s="1"/>
  <c r="AH112" i="3"/>
  <c r="AH113" i="3"/>
  <c r="AH137" i="3"/>
  <c r="AH159" i="3" s="1"/>
  <c r="AH139" i="3"/>
  <c r="AH161" i="3" s="1"/>
  <c r="AH115" i="3"/>
  <c r="AQ7" i="3"/>
  <c r="AQ71" i="3" s="1"/>
  <c r="AQ69" i="3" s="1"/>
  <c r="AQ205" i="3" s="1"/>
  <c r="AR8" i="3"/>
  <c r="AM10" i="3"/>
  <c r="AL14" i="3"/>
  <c r="AH144" i="3"/>
  <c r="AH166" i="3" s="1"/>
  <c r="AH120" i="3"/>
  <c r="AI198" i="3"/>
  <c r="AI184" i="3"/>
  <c r="AI182" i="3"/>
  <c r="AI183" i="3"/>
  <c r="AI181" i="3"/>
  <c r="AI188" i="3"/>
  <c r="AI90" i="3"/>
  <c r="AI85" i="3"/>
  <c r="AI94" i="3"/>
  <c r="AI84" i="3"/>
  <c r="AI98" i="3"/>
  <c r="AI93" i="3"/>
  <c r="AI88" i="3"/>
  <c r="AI82" i="3"/>
  <c r="AI58" i="3"/>
  <c r="AI96" i="3"/>
  <c r="AI81" i="3"/>
  <c r="AI67" i="3"/>
  <c r="AI73" i="3"/>
  <c r="AI207" i="3" s="1"/>
  <c r="AI87" i="3"/>
  <c r="AI59" i="3"/>
  <c r="AI56" i="3"/>
  <c r="AI91" i="3"/>
  <c r="AI72" i="3"/>
  <c r="AI206" i="3" s="1"/>
  <c r="AI55" i="3"/>
  <c r="AI60" i="3"/>
  <c r="AG199" i="3"/>
  <c r="AG200" i="3" s="1"/>
  <c r="AG186" i="3"/>
  <c r="AG185" i="3"/>
  <c r="AG62" i="3"/>
  <c r="AA168" i="3"/>
  <c r="AB127" i="3"/>
  <c r="AB149" i="3" s="1"/>
  <c r="AH130" i="3"/>
  <c r="AH152" i="3" s="1"/>
  <c r="AH106" i="3"/>
  <c r="AH204" i="3"/>
  <c r="AH75" i="3"/>
  <c r="AH140" i="3"/>
  <c r="AH162" i="3" s="1"/>
  <c r="AH116" i="3"/>
  <c r="AJ37" i="3"/>
  <c r="Z224" i="3"/>
  <c r="Z208" i="3"/>
  <c r="Z209" i="3" s="1"/>
  <c r="Z211" i="3" s="1"/>
  <c r="AI63" i="3" l="1"/>
  <c r="AA224" i="3"/>
  <c r="AA208" i="3"/>
  <c r="AA209" i="3" s="1"/>
  <c r="AA211" i="3" s="1"/>
  <c r="AI131" i="3"/>
  <c r="AI153" i="3" s="1"/>
  <c r="AI107" i="3"/>
  <c r="AI136" i="3"/>
  <c r="AI158" i="3" s="1"/>
  <c r="AI112" i="3"/>
  <c r="AK26" i="3"/>
  <c r="AK51" i="3" s="1"/>
  <c r="AI142" i="3"/>
  <c r="AI164" i="3" s="1"/>
  <c r="AI118" i="3"/>
  <c r="AI128" i="3"/>
  <c r="AI150" i="3" s="1"/>
  <c r="AI104" i="3"/>
  <c r="AI137" i="3"/>
  <c r="AI159" i="3" s="1"/>
  <c r="AI113" i="3"/>
  <c r="AI199" i="3"/>
  <c r="AI200" i="3" s="1"/>
  <c r="AI186" i="3"/>
  <c r="AI185" i="3"/>
  <c r="AI62" i="3"/>
  <c r="AI110" i="3"/>
  <c r="AI134" i="3"/>
  <c r="AI156" i="3" s="1"/>
  <c r="AL33" i="3"/>
  <c r="AL29" i="3"/>
  <c r="AL37" i="3" s="1"/>
  <c r="AL22" i="3"/>
  <c r="AL57" i="3"/>
  <c r="AL24" i="3"/>
  <c r="AL35" i="3"/>
  <c r="AL31" i="3"/>
  <c r="AH186" i="3"/>
  <c r="AH185" i="3"/>
  <c r="AH199" i="3"/>
  <c r="AH200" i="3" s="1"/>
  <c r="AH62" i="3"/>
  <c r="AI109" i="3"/>
  <c r="AI133" i="3"/>
  <c r="AI155" i="3" s="1"/>
  <c r="AI139" i="3"/>
  <c r="AI161" i="3" s="1"/>
  <c r="AI115" i="3"/>
  <c r="AM14" i="3"/>
  <c r="AN10" i="3"/>
  <c r="AH122" i="3"/>
  <c r="AH235" i="3" s="1"/>
  <c r="AI144" i="3"/>
  <c r="AI166" i="3" s="1"/>
  <c r="AI120" i="3"/>
  <c r="AR7" i="3"/>
  <c r="AR71" i="3" s="1"/>
  <c r="AR69" i="3" s="1"/>
  <c r="AR205" i="3" s="1"/>
  <c r="AS8" i="3"/>
  <c r="AK37" i="3"/>
  <c r="AI204" i="3"/>
  <c r="AI75" i="3"/>
  <c r="AI130" i="3"/>
  <c r="AI152" i="3" s="1"/>
  <c r="AI106" i="3"/>
  <c r="AP5" i="3"/>
  <c r="AP9" i="3" s="1"/>
  <c r="AP19" i="3" s="1"/>
  <c r="AQ6" i="3"/>
  <c r="AJ51" i="3"/>
  <c r="V175" i="3"/>
  <c r="V214" i="3" s="1"/>
  <c r="V216" i="3" s="1"/>
  <c r="V218" i="3" s="1"/>
  <c r="V174" i="3"/>
  <c r="V173" i="3"/>
  <c r="AB168" i="3"/>
  <c r="AC127" i="3"/>
  <c r="AC149" i="3" s="1"/>
  <c r="AI103" i="3"/>
  <c r="AI140" i="3"/>
  <c r="AI162" i="3" s="1"/>
  <c r="AI116" i="3"/>
  <c r="AQ68" i="3"/>
  <c r="AR4" i="3"/>
  <c r="AL26" i="3" l="1"/>
  <c r="AL51" i="3" s="1"/>
  <c r="V177" i="3"/>
  <c r="V187" i="3" s="1"/>
  <c r="V190" i="3" s="1"/>
  <c r="V192" i="3" s="1"/>
  <c r="W172" i="3"/>
  <c r="AO10" i="3"/>
  <c r="AN14" i="3"/>
  <c r="AK198" i="3"/>
  <c r="AK188" i="3"/>
  <c r="AK184" i="3"/>
  <c r="AK182" i="3"/>
  <c r="AK181" i="3"/>
  <c r="AK183" i="3"/>
  <c r="AK94" i="3"/>
  <c r="AK98" i="3"/>
  <c r="AK93" i="3"/>
  <c r="AK88" i="3"/>
  <c r="AK87" i="3"/>
  <c r="AK96" i="3"/>
  <c r="AK91" i="3"/>
  <c r="AK81" i="3"/>
  <c r="AK67" i="3"/>
  <c r="AK73" i="3"/>
  <c r="AK207" i="3" s="1"/>
  <c r="AK72" i="3"/>
  <c r="AK206" i="3" s="1"/>
  <c r="AK84" i="3"/>
  <c r="AK58" i="3"/>
  <c r="AK90" i="3"/>
  <c r="AK56" i="3"/>
  <c r="AK82" i="3"/>
  <c r="AK55" i="3"/>
  <c r="AK60" i="3"/>
  <c r="AK85" i="3"/>
  <c r="AK59" i="3"/>
  <c r="AI122" i="3"/>
  <c r="AI235" i="3" s="1"/>
  <c r="AJ198" i="3"/>
  <c r="AJ188" i="3"/>
  <c r="AJ184" i="3"/>
  <c r="AJ182" i="3"/>
  <c r="AJ181" i="3"/>
  <c r="AJ183" i="3"/>
  <c r="AJ90" i="3"/>
  <c r="AJ85" i="3"/>
  <c r="AJ94" i="3"/>
  <c r="AJ98" i="3"/>
  <c r="AJ93" i="3"/>
  <c r="AJ88" i="3"/>
  <c r="AJ87" i="3"/>
  <c r="AJ96" i="3"/>
  <c r="AJ81" i="3"/>
  <c r="AJ67" i="3"/>
  <c r="AJ73" i="3"/>
  <c r="AJ207" i="3" s="1"/>
  <c r="AJ91" i="3"/>
  <c r="AJ72" i="3"/>
  <c r="AJ206" i="3" s="1"/>
  <c r="AJ59" i="3"/>
  <c r="AJ58" i="3"/>
  <c r="AJ82" i="3"/>
  <c r="AJ55" i="3"/>
  <c r="AJ84" i="3"/>
  <c r="AJ60" i="3"/>
  <c r="AJ56" i="3"/>
  <c r="AM57" i="3"/>
  <c r="AM22" i="3"/>
  <c r="AM26" i="3" s="1"/>
  <c r="AM31" i="3"/>
  <c r="AM35" i="3"/>
  <c r="AM29" i="3"/>
  <c r="AM24" i="3"/>
  <c r="AM33" i="3"/>
  <c r="AQ5" i="3"/>
  <c r="AQ9" i="3" s="1"/>
  <c r="AQ19" i="3" s="1"/>
  <c r="AR6" i="3"/>
  <c r="AS7" i="3"/>
  <c r="AS71" i="3" s="1"/>
  <c r="AS69" i="3" s="1"/>
  <c r="AS205" i="3" s="1"/>
  <c r="AT8" i="3"/>
  <c r="V219" i="3"/>
  <c r="V220" i="3" s="1"/>
  <c r="V223" i="3" s="1"/>
  <c r="AR68" i="3"/>
  <c r="AS4" i="3"/>
  <c r="AB224" i="3"/>
  <c r="AB208" i="3"/>
  <c r="AB209" i="3" s="1"/>
  <c r="AB211" i="3" s="1"/>
  <c r="AL198" i="3"/>
  <c r="AL188" i="3"/>
  <c r="AL184" i="3"/>
  <c r="AL183" i="3"/>
  <c r="AL182" i="3"/>
  <c r="AL181" i="3"/>
  <c r="AL84" i="3"/>
  <c r="AL98" i="3"/>
  <c r="AL93" i="3"/>
  <c r="AL88" i="3"/>
  <c r="AL87" i="3"/>
  <c r="AL96" i="3"/>
  <c r="AL91" i="3"/>
  <c r="AL67" i="3"/>
  <c r="AL73" i="3"/>
  <c r="AL207" i="3" s="1"/>
  <c r="AL60" i="3"/>
  <c r="AL94" i="3"/>
  <c r="AL72" i="3"/>
  <c r="AL206" i="3" s="1"/>
  <c r="AL90" i="3"/>
  <c r="AL82" i="3"/>
  <c r="AL58" i="3"/>
  <c r="AL56" i="3"/>
  <c r="AL81" i="3"/>
  <c r="AL85" i="3"/>
  <c r="AL59" i="3"/>
  <c r="AL55" i="3"/>
  <c r="AC168" i="3"/>
  <c r="AD127" i="3"/>
  <c r="AD149" i="3" s="1"/>
  <c r="AR5" i="3" l="1"/>
  <c r="AR9" i="3" s="1"/>
  <c r="AR19" i="3" s="1"/>
  <c r="AS6" i="3"/>
  <c r="AJ133" i="3"/>
  <c r="AJ155" i="3" s="1"/>
  <c r="AJ109" i="3"/>
  <c r="AK115" i="3"/>
  <c r="AK110" i="3"/>
  <c r="AC224" i="3"/>
  <c r="AC208" i="3"/>
  <c r="AC209" i="3" s="1"/>
  <c r="AC211" i="3" s="1"/>
  <c r="AJ134" i="3"/>
  <c r="AJ156" i="3" s="1"/>
  <c r="AK134" i="3" s="1"/>
  <c r="AK156" i="3" s="1"/>
  <c r="AL134" i="3" s="1"/>
  <c r="AL156" i="3" s="1"/>
  <c r="AJ110" i="3"/>
  <c r="AK204" i="3"/>
  <c r="AK75" i="3"/>
  <c r="AK120" i="3"/>
  <c r="AN35" i="3"/>
  <c r="AN57" i="3"/>
  <c r="AN31" i="3"/>
  <c r="AN29" i="3"/>
  <c r="AN37" i="3" s="1"/>
  <c r="AN33" i="3"/>
  <c r="AN22" i="3"/>
  <c r="AN24" i="3"/>
  <c r="AL113" i="3"/>
  <c r="AS68" i="3"/>
  <c r="AT4" i="3"/>
  <c r="AL109" i="3"/>
  <c r="AJ63" i="3"/>
  <c r="AJ113" i="3"/>
  <c r="AJ137" i="3"/>
  <c r="AJ159" i="3" s="1"/>
  <c r="AK137" i="3" s="1"/>
  <c r="AK159" i="3" s="1"/>
  <c r="AL137" i="3" s="1"/>
  <c r="AL159" i="3" s="1"/>
  <c r="AJ139" i="3"/>
  <c r="AJ161" i="3" s="1"/>
  <c r="AK139" i="3" s="1"/>
  <c r="AK161" i="3" s="1"/>
  <c r="AL139" i="3" s="1"/>
  <c r="AL161" i="3" s="1"/>
  <c r="AJ115" i="3"/>
  <c r="AK104" i="3"/>
  <c r="AK116" i="3"/>
  <c r="AO14" i="3"/>
  <c r="AP10" i="3"/>
  <c r="AL118" i="3"/>
  <c r="AL110" i="3"/>
  <c r="AL116" i="3"/>
  <c r="AL115" i="3"/>
  <c r="AJ144" i="3"/>
  <c r="AJ166" i="3" s="1"/>
  <c r="AK144" i="3" s="1"/>
  <c r="AK166" i="3" s="1"/>
  <c r="AL144" i="3" s="1"/>
  <c r="AL166" i="3" s="1"/>
  <c r="AJ120" i="3"/>
  <c r="AK63" i="3"/>
  <c r="AK103" i="3"/>
  <c r="W175" i="3"/>
  <c r="W214" i="3" s="1"/>
  <c r="W216" i="3" s="1"/>
  <c r="W218" i="3" s="1"/>
  <c r="W174" i="3"/>
  <c r="W177" i="3"/>
  <c r="W173" i="3"/>
  <c r="AD168" i="3"/>
  <c r="AE127" i="3"/>
  <c r="AE149" i="3" s="1"/>
  <c r="AL107" i="3"/>
  <c r="AL120" i="3"/>
  <c r="AJ130" i="3"/>
  <c r="AJ152" i="3" s="1"/>
  <c r="AK130" i="3" s="1"/>
  <c r="AK152" i="3" s="1"/>
  <c r="AL130" i="3" s="1"/>
  <c r="AL152" i="3" s="1"/>
  <c r="AJ106" i="3"/>
  <c r="AJ204" i="3"/>
  <c r="AJ75" i="3"/>
  <c r="AJ140" i="3"/>
  <c r="AJ162" i="3" s="1"/>
  <c r="AK140" i="3" s="1"/>
  <c r="AK162" i="3" s="1"/>
  <c r="AL140" i="3" s="1"/>
  <c r="AL162" i="3" s="1"/>
  <c r="AJ116" i="3"/>
  <c r="AK112" i="3"/>
  <c r="AK113" i="3"/>
  <c r="AJ142" i="3"/>
  <c r="AJ164" i="3" s="1"/>
  <c r="AK142" i="3" s="1"/>
  <c r="AK164" i="3" s="1"/>
  <c r="AL142" i="3" s="1"/>
  <c r="AL164" i="3" s="1"/>
  <c r="AJ118" i="3"/>
  <c r="AL104" i="3"/>
  <c r="AL103" i="3"/>
  <c r="AL106" i="3"/>
  <c r="AU8" i="3"/>
  <c r="AT7" i="3"/>
  <c r="AT71" i="3" s="1"/>
  <c r="AT69" i="3" s="1"/>
  <c r="AT205" i="3" s="1"/>
  <c r="AM37" i="3"/>
  <c r="AM51" i="3" s="1"/>
  <c r="AJ107" i="3"/>
  <c r="AJ131" i="3"/>
  <c r="AJ153" i="3" s="1"/>
  <c r="AK118" i="3"/>
  <c r="AK131" i="3"/>
  <c r="AK153" i="3" s="1"/>
  <c r="AL131" i="3" s="1"/>
  <c r="AL153" i="3" s="1"/>
  <c r="AK107" i="3"/>
  <c r="AL112" i="3"/>
  <c r="AL63" i="3"/>
  <c r="AL204" i="3"/>
  <c r="AL75" i="3"/>
  <c r="AJ128" i="3"/>
  <c r="AJ150" i="3" s="1"/>
  <c r="AK128" i="3" s="1"/>
  <c r="AK150" i="3" s="1"/>
  <c r="AL128" i="3" s="1"/>
  <c r="AL150" i="3" s="1"/>
  <c r="AJ104" i="3"/>
  <c r="AJ103" i="3"/>
  <c r="AJ112" i="3"/>
  <c r="AJ136" i="3"/>
  <c r="AJ158" i="3" s="1"/>
  <c r="AK136" i="3" s="1"/>
  <c r="AK158" i="3" s="1"/>
  <c r="AL136" i="3" s="1"/>
  <c r="AL158" i="3" s="1"/>
  <c r="AK106" i="3"/>
  <c r="AK109" i="3"/>
  <c r="AK133" i="3"/>
  <c r="AK155" i="3" s="1"/>
  <c r="AL133" i="3" s="1"/>
  <c r="AL155" i="3" s="1"/>
  <c r="AM188" i="3" l="1"/>
  <c r="AM184" i="3"/>
  <c r="AM183" i="3"/>
  <c r="AM181" i="3"/>
  <c r="AM198" i="3"/>
  <c r="AM182" i="3"/>
  <c r="AM98" i="3"/>
  <c r="AM93" i="3"/>
  <c r="AM88" i="3"/>
  <c r="AM96" i="3"/>
  <c r="AM91" i="3"/>
  <c r="AM90" i="3"/>
  <c r="AM85" i="3"/>
  <c r="AM73" i="3"/>
  <c r="AM207" i="3" s="1"/>
  <c r="AM60" i="3"/>
  <c r="AM94" i="3"/>
  <c r="AM72" i="3"/>
  <c r="AM206" i="3" s="1"/>
  <c r="AM87" i="3"/>
  <c r="AM84" i="3"/>
  <c r="AM82" i="3"/>
  <c r="AM56" i="3"/>
  <c r="AM67" i="3"/>
  <c r="AM55" i="3"/>
  <c r="AM81" i="3"/>
  <c r="AM59" i="3"/>
  <c r="AM58" i="3"/>
  <c r="AK185" i="3"/>
  <c r="AK199" i="3"/>
  <c r="AK200" i="3" s="1"/>
  <c r="AK186" i="3"/>
  <c r="AK62" i="3"/>
  <c r="AD224" i="3"/>
  <c r="AD208" i="3"/>
  <c r="AD209" i="3" s="1"/>
  <c r="AD211" i="3" s="1"/>
  <c r="AT68" i="3"/>
  <c r="AU4" i="3"/>
  <c r="W187" i="3"/>
  <c r="W190" i="3" s="1"/>
  <c r="W192" i="3" s="1"/>
  <c r="X172" i="3"/>
  <c r="AE168" i="3"/>
  <c r="AF127" i="3"/>
  <c r="AF149" i="3" s="1"/>
  <c r="AL122" i="3"/>
  <c r="AL235" i="3" s="1"/>
  <c r="AL185" i="3"/>
  <c r="AL199" i="3"/>
  <c r="AL200" i="3" s="1"/>
  <c r="AL186" i="3"/>
  <c r="AL62" i="3"/>
  <c r="AP14" i="3"/>
  <c r="AQ10" i="3"/>
  <c r="AJ122" i="3"/>
  <c r="AJ235" i="3" s="1"/>
  <c r="W219" i="3"/>
  <c r="W220" i="3"/>
  <c r="W223" i="3" s="1"/>
  <c r="AO57" i="3"/>
  <c r="AO33" i="3"/>
  <c r="AO24" i="3"/>
  <c r="AO29" i="3"/>
  <c r="AO22" i="3"/>
  <c r="AO35" i="3"/>
  <c r="AO31" i="3"/>
  <c r="AU7" i="3"/>
  <c r="AU71" i="3" s="1"/>
  <c r="AU69" i="3" s="1"/>
  <c r="AU205" i="3" s="1"/>
  <c r="AV8" i="3"/>
  <c r="AK122" i="3"/>
  <c r="AK235" i="3" s="1"/>
  <c r="AJ199" i="3"/>
  <c r="AJ200" i="3" s="1"/>
  <c r="AJ186" i="3"/>
  <c r="AJ185" i="3"/>
  <c r="AJ62" i="3"/>
  <c r="AN26" i="3"/>
  <c r="AN51" i="3" s="1"/>
  <c r="AS5" i="3"/>
  <c r="AS9" i="3" s="1"/>
  <c r="AS19" i="3" s="1"/>
  <c r="AT6" i="3"/>
  <c r="AO37" i="3" l="1"/>
  <c r="X175" i="3"/>
  <c r="X214" i="3" s="1"/>
  <c r="X216" i="3" s="1"/>
  <c r="X218" i="3" s="1"/>
  <c r="X174" i="3"/>
  <c r="X173" i="3"/>
  <c r="X177" i="3" s="1"/>
  <c r="AM144" i="3"/>
  <c r="AM166" i="3" s="1"/>
  <c r="AM120" i="3"/>
  <c r="AM204" i="3"/>
  <c r="AM75" i="3"/>
  <c r="AM115" i="3"/>
  <c r="AM139" i="3"/>
  <c r="AM161" i="3" s="1"/>
  <c r="AU6" i="3"/>
  <c r="AT5" i="3"/>
  <c r="AT9" i="3" s="1"/>
  <c r="AT19" i="3" s="1"/>
  <c r="AM63" i="3"/>
  <c r="AM107" i="3"/>
  <c r="AM131" i="3"/>
  <c r="AM153" i="3" s="1"/>
  <c r="AU68" i="3"/>
  <c r="AV4" i="3"/>
  <c r="AM104" i="3"/>
  <c r="AM128" i="3"/>
  <c r="AM150" i="3" s="1"/>
  <c r="AM136" i="3"/>
  <c r="AM158" i="3" s="1"/>
  <c r="AM112" i="3"/>
  <c r="AN188" i="3"/>
  <c r="AN184" i="3"/>
  <c r="AN198" i="3"/>
  <c r="AN181" i="3"/>
  <c r="AN183" i="3"/>
  <c r="AN182" i="3"/>
  <c r="AN87" i="3"/>
  <c r="AN96" i="3"/>
  <c r="AN91" i="3"/>
  <c r="AN90" i="3"/>
  <c r="AN85" i="3"/>
  <c r="AN94" i="3"/>
  <c r="AN88" i="3"/>
  <c r="AN72" i="3"/>
  <c r="AN206" i="3" s="1"/>
  <c r="AN59" i="3"/>
  <c r="AN93" i="3"/>
  <c r="AN84" i="3"/>
  <c r="AN82" i="3"/>
  <c r="AN81" i="3"/>
  <c r="AN67" i="3"/>
  <c r="AN55" i="3"/>
  <c r="AN73" i="3"/>
  <c r="AN207" i="3" s="1"/>
  <c r="AN60" i="3"/>
  <c r="AN58" i="3"/>
  <c r="AN98" i="3"/>
  <c r="AN56" i="3"/>
  <c r="AM130" i="3"/>
  <c r="AM152" i="3" s="1"/>
  <c r="AM106" i="3"/>
  <c r="AM137" i="3"/>
  <c r="AM159" i="3" s="1"/>
  <c r="AM113" i="3"/>
  <c r="AP29" i="3"/>
  <c r="AP31" i="3"/>
  <c r="AP33" i="3"/>
  <c r="AP57" i="3"/>
  <c r="AP22" i="3"/>
  <c r="AP26" i="3" s="1"/>
  <c r="AP24" i="3"/>
  <c r="AP35" i="3"/>
  <c r="AF168" i="3"/>
  <c r="AG127" i="3"/>
  <c r="AG149" i="3" s="1"/>
  <c r="AM109" i="3"/>
  <c r="AM133" i="3"/>
  <c r="AM155" i="3" s="1"/>
  <c r="AM118" i="3"/>
  <c r="AM142" i="3"/>
  <c r="AM164" i="3" s="1"/>
  <c r="AM140" i="3"/>
  <c r="AM162" i="3" s="1"/>
  <c r="AM116" i="3"/>
  <c r="AW8" i="3"/>
  <c r="AV7" i="3"/>
  <c r="AV71" i="3" s="1"/>
  <c r="AV69" i="3" s="1"/>
  <c r="AV205" i="3" s="1"/>
  <c r="AO26" i="3"/>
  <c r="AO51" i="3" s="1"/>
  <c r="AR10" i="3"/>
  <c r="AQ14" i="3"/>
  <c r="AE224" i="3"/>
  <c r="AE208" i="3"/>
  <c r="AE209" i="3" s="1"/>
  <c r="AE211" i="3" s="1"/>
  <c r="AM103" i="3"/>
  <c r="AM110" i="3"/>
  <c r="AM134" i="3"/>
  <c r="AM156" i="3" s="1"/>
  <c r="AN63" i="3" l="1"/>
  <c r="X187" i="3"/>
  <c r="X190" i="3" s="1"/>
  <c r="X192" i="3" s="1"/>
  <c r="Y172" i="3"/>
  <c r="AN131" i="3"/>
  <c r="AN153" i="3" s="1"/>
  <c r="AN107" i="3"/>
  <c r="AN128" i="3"/>
  <c r="AN150" i="3" s="1"/>
  <c r="AN104" i="3"/>
  <c r="AN130" i="3"/>
  <c r="AN152" i="3" s="1"/>
  <c r="AN106" i="3"/>
  <c r="AN113" i="3"/>
  <c r="AN137" i="3"/>
  <c r="AN159" i="3" s="1"/>
  <c r="AN103" i="3"/>
  <c r="AG168" i="3"/>
  <c r="AH127" i="3"/>
  <c r="AH149" i="3" s="1"/>
  <c r="AN142" i="3"/>
  <c r="AN164" i="3" s="1"/>
  <c r="AN118" i="3"/>
  <c r="AV68" i="3"/>
  <c r="AW4" i="3"/>
  <c r="AN136" i="3"/>
  <c r="AN158" i="3" s="1"/>
  <c r="AN112" i="3"/>
  <c r="AM199" i="3"/>
  <c r="AM200" i="3" s="1"/>
  <c r="AM185" i="3"/>
  <c r="AM186" i="3"/>
  <c r="AM62" i="3"/>
  <c r="AM122" i="3"/>
  <c r="AM235" i="3" s="1"/>
  <c r="AP37" i="3"/>
  <c r="AX8" i="3"/>
  <c r="AW7" i="3"/>
  <c r="AW71" i="3" s="1"/>
  <c r="AW69" i="3" s="1"/>
  <c r="AW205" i="3" s="1"/>
  <c r="AN109" i="3"/>
  <c r="AN133" i="3"/>
  <c r="AN155" i="3" s="1"/>
  <c r="AN139" i="3"/>
  <c r="AN161" i="3" s="1"/>
  <c r="AN115" i="3"/>
  <c r="AF224" i="3"/>
  <c r="AF208" i="3"/>
  <c r="AF209" i="3" s="1"/>
  <c r="AF211" i="3" s="1"/>
  <c r="AV6" i="3"/>
  <c r="AU5" i="3"/>
  <c r="AU9" i="3" s="1"/>
  <c r="AU19" i="3" s="1"/>
  <c r="AO183" i="3"/>
  <c r="AO198" i="3"/>
  <c r="AO184" i="3"/>
  <c r="AO188" i="3"/>
  <c r="AO182" i="3"/>
  <c r="AO181" i="3"/>
  <c r="AO87" i="3"/>
  <c r="AO96" i="3"/>
  <c r="AO91" i="3"/>
  <c r="AO90" i="3"/>
  <c r="AO85" i="3"/>
  <c r="AO94" i="3"/>
  <c r="AO84" i="3"/>
  <c r="AO72" i="3"/>
  <c r="AO206" i="3" s="1"/>
  <c r="AO59" i="3"/>
  <c r="AO93" i="3"/>
  <c r="AO82" i="3"/>
  <c r="AO81" i="3"/>
  <c r="AO98" i="3"/>
  <c r="AO67" i="3"/>
  <c r="AO88" i="3"/>
  <c r="AO55" i="3"/>
  <c r="AO58" i="3"/>
  <c r="AO73" i="3"/>
  <c r="AO207" i="3" s="1"/>
  <c r="AO60" i="3"/>
  <c r="AO56" i="3"/>
  <c r="AN199" i="3"/>
  <c r="AN200" i="3" s="1"/>
  <c r="AN186" i="3"/>
  <c r="AN185" i="3"/>
  <c r="AN144" i="3"/>
  <c r="AN166" i="3" s="1"/>
  <c r="AN120" i="3"/>
  <c r="AQ57" i="3"/>
  <c r="AQ22" i="3"/>
  <c r="AQ24" i="3"/>
  <c r="AQ35" i="3"/>
  <c r="AQ29" i="3"/>
  <c r="AQ31" i="3"/>
  <c r="AQ33" i="3"/>
  <c r="AN62" i="3"/>
  <c r="AN134" i="3"/>
  <c r="AN156" i="3" s="1"/>
  <c r="AN110" i="3"/>
  <c r="AR14" i="3"/>
  <c r="AS10" i="3"/>
  <c r="AP51" i="3"/>
  <c r="AN204" i="3"/>
  <c r="AN75" i="3"/>
  <c r="AN140" i="3"/>
  <c r="AN162" i="3" s="1"/>
  <c r="AN116" i="3"/>
  <c r="X219" i="3"/>
  <c r="X220" i="3" s="1"/>
  <c r="X223" i="3" s="1"/>
  <c r="AH168" i="3" l="1"/>
  <c r="AI127" i="3"/>
  <c r="AI149" i="3" s="1"/>
  <c r="AO139" i="3"/>
  <c r="AO161" i="3" s="1"/>
  <c r="AO115" i="3"/>
  <c r="AO118" i="3"/>
  <c r="AO142" i="3"/>
  <c r="AO164" i="3" s="1"/>
  <c r="AO109" i="3"/>
  <c r="AO133" i="3"/>
  <c r="AO155" i="3" s="1"/>
  <c r="AW6" i="3"/>
  <c r="AV5" i="3"/>
  <c r="AV9" i="3" s="1"/>
  <c r="AV19" i="3" s="1"/>
  <c r="AG224" i="3"/>
  <c r="AG208" i="3"/>
  <c r="AG209" i="3" s="1"/>
  <c r="AG211" i="3" s="1"/>
  <c r="AN122" i="3"/>
  <c r="AN235" i="3" s="1"/>
  <c r="AP198" i="3"/>
  <c r="AP188" i="3"/>
  <c r="AP184" i="3"/>
  <c r="AP183" i="3"/>
  <c r="AP182" i="3"/>
  <c r="AP181" i="3"/>
  <c r="AP96" i="3"/>
  <c r="AP91" i="3"/>
  <c r="AP90" i="3"/>
  <c r="AP94" i="3"/>
  <c r="AP98" i="3"/>
  <c r="AP93" i="3"/>
  <c r="AP88" i="3"/>
  <c r="AP82" i="3"/>
  <c r="AP58" i="3"/>
  <c r="AP84" i="3"/>
  <c r="AP87" i="3"/>
  <c r="AP81" i="3"/>
  <c r="AP67" i="3"/>
  <c r="AP85" i="3"/>
  <c r="AP73" i="3"/>
  <c r="AP207" i="3" s="1"/>
  <c r="AP60" i="3"/>
  <c r="AP59" i="3"/>
  <c r="AP72" i="3"/>
  <c r="AP206" i="3" s="1"/>
  <c r="AP56" i="3"/>
  <c r="AP55" i="3"/>
  <c r="AS14" i="3"/>
  <c r="AT10" i="3"/>
  <c r="AO134" i="3"/>
  <c r="AO156" i="3" s="1"/>
  <c r="AO110" i="3"/>
  <c r="AO106" i="3"/>
  <c r="AO130" i="3"/>
  <c r="AO152" i="3" s="1"/>
  <c r="AY8" i="3"/>
  <c r="AX7" i="3"/>
  <c r="AX71" i="3" s="1"/>
  <c r="AX69" i="3" s="1"/>
  <c r="AX205" i="3" s="1"/>
  <c r="AO204" i="3"/>
  <c r="AO75" i="3"/>
  <c r="AO140" i="3"/>
  <c r="AO162" i="3" s="1"/>
  <c r="AO116" i="3"/>
  <c r="AW68" i="3"/>
  <c r="AX4" i="3"/>
  <c r="AO128" i="3"/>
  <c r="AO150" i="3" s="1"/>
  <c r="AO104" i="3"/>
  <c r="AQ37" i="3"/>
  <c r="AR57" i="3"/>
  <c r="AR31" i="3"/>
  <c r="AR33" i="3"/>
  <c r="AR22" i="3"/>
  <c r="AR35" i="3"/>
  <c r="AR29" i="3"/>
  <c r="AR24" i="3"/>
  <c r="AQ26" i="3"/>
  <c r="AO63" i="3"/>
  <c r="AO144" i="3"/>
  <c r="AO166" i="3" s="1"/>
  <c r="AO120" i="3"/>
  <c r="AO107" i="3"/>
  <c r="AO131" i="3"/>
  <c r="AO153" i="3" s="1"/>
  <c r="Y174" i="3"/>
  <c r="Y173" i="3"/>
  <c r="Y177" i="3" s="1"/>
  <c r="Y175" i="3"/>
  <c r="Y214" i="3" s="1"/>
  <c r="Y216" i="3" s="1"/>
  <c r="Y218" i="3" s="1"/>
  <c r="AO113" i="3"/>
  <c r="AO137" i="3"/>
  <c r="AO159" i="3" s="1"/>
  <c r="AO103" i="3"/>
  <c r="AO136" i="3"/>
  <c r="AO158" i="3" s="1"/>
  <c r="AO112" i="3"/>
  <c r="Y187" i="3" l="1"/>
  <c r="Y190" i="3" s="1"/>
  <c r="Y192" i="3" s="1"/>
  <c r="Z172" i="3"/>
  <c r="AI168" i="3"/>
  <c r="AJ127" i="3"/>
  <c r="AJ149" i="3" s="1"/>
  <c r="AP134" i="3"/>
  <c r="AP156" i="3" s="1"/>
  <c r="AP110" i="3"/>
  <c r="AR37" i="3"/>
  <c r="AS57" i="3"/>
  <c r="AS33" i="3"/>
  <c r="AS29" i="3"/>
  <c r="AS22" i="3"/>
  <c r="AS35" i="3"/>
  <c r="AS31" i="3"/>
  <c r="AS24" i="3"/>
  <c r="AP204" i="3"/>
  <c r="AP75" i="3"/>
  <c r="AP139" i="3"/>
  <c r="AP161" i="3" s="1"/>
  <c r="AP115" i="3"/>
  <c r="AP144" i="3"/>
  <c r="AP166" i="3" s="1"/>
  <c r="AP120" i="3"/>
  <c r="AX6" i="3"/>
  <c r="AW5" i="3"/>
  <c r="AW9" i="3" s="1"/>
  <c r="AW19" i="3" s="1"/>
  <c r="AO122" i="3"/>
  <c r="AO235" i="3" s="1"/>
  <c r="AR26" i="3"/>
  <c r="AX68" i="3"/>
  <c r="AY4" i="3"/>
  <c r="AZ8" i="3"/>
  <c r="AY7" i="3"/>
  <c r="AY71" i="3" s="1"/>
  <c r="AY69" i="3" s="1"/>
  <c r="AY205" i="3" s="1"/>
  <c r="AP63" i="3"/>
  <c r="AP103" i="3"/>
  <c r="AP140" i="3"/>
  <c r="AP162" i="3" s="1"/>
  <c r="AP116" i="3"/>
  <c r="AH224" i="3"/>
  <c r="AH208" i="3"/>
  <c r="AH209" i="3" s="1"/>
  <c r="AH211" i="3" s="1"/>
  <c r="AP133" i="3"/>
  <c r="AP155" i="3" s="1"/>
  <c r="AP109" i="3"/>
  <c r="AP112" i="3"/>
  <c r="AP136" i="3"/>
  <c r="AP158" i="3" s="1"/>
  <c r="AP130" i="3"/>
  <c r="AP152" i="3" s="1"/>
  <c r="AP106" i="3"/>
  <c r="AP113" i="3"/>
  <c r="AP137" i="3"/>
  <c r="AP159" i="3" s="1"/>
  <c r="AP118" i="3"/>
  <c r="AP142" i="3"/>
  <c r="AP164" i="3" s="1"/>
  <c r="AU10" i="3"/>
  <c r="AT14" i="3"/>
  <c r="AP107" i="3"/>
  <c r="AP131" i="3"/>
  <c r="AP153" i="3" s="1"/>
  <c r="Y219" i="3"/>
  <c r="Y220" i="3" s="1"/>
  <c r="Y223" i="3" s="1"/>
  <c r="AO199" i="3"/>
  <c r="AO200" i="3" s="1"/>
  <c r="AO186" i="3"/>
  <c r="AO185" i="3"/>
  <c r="AO62" i="3"/>
  <c r="AQ51" i="3"/>
  <c r="AP128" i="3"/>
  <c r="AP150" i="3" s="1"/>
  <c r="AP104" i="3"/>
  <c r="AQ198" i="3" l="1"/>
  <c r="AQ184" i="3"/>
  <c r="AQ183" i="3"/>
  <c r="AQ188" i="3"/>
  <c r="AQ182" i="3"/>
  <c r="AQ181" i="3"/>
  <c r="AQ90" i="3"/>
  <c r="AQ85" i="3"/>
  <c r="AQ94" i="3"/>
  <c r="AQ84" i="3"/>
  <c r="AQ98" i="3"/>
  <c r="AQ93" i="3"/>
  <c r="AQ88" i="3"/>
  <c r="AQ82" i="3"/>
  <c r="AQ58" i="3"/>
  <c r="AQ87" i="3"/>
  <c r="AQ81" i="3"/>
  <c r="AQ67" i="3"/>
  <c r="AQ91" i="3"/>
  <c r="AQ73" i="3"/>
  <c r="AQ207" i="3" s="1"/>
  <c r="AQ60" i="3"/>
  <c r="AQ72" i="3"/>
  <c r="AQ206" i="3" s="1"/>
  <c r="AQ56" i="3"/>
  <c r="AQ96" i="3"/>
  <c r="AQ55" i="3"/>
  <c r="AQ59" i="3"/>
  <c r="AY68" i="3"/>
  <c r="AZ4" i="3"/>
  <c r="AS26" i="3"/>
  <c r="AS37" i="3"/>
  <c r="AI224" i="3"/>
  <c r="AI208" i="3"/>
  <c r="AI209" i="3" s="1"/>
  <c r="AI211" i="3" s="1"/>
  <c r="AU14" i="3"/>
  <c r="AV10" i="3"/>
  <c r="AR51" i="3"/>
  <c r="Z174" i="3"/>
  <c r="Z173" i="3"/>
  <c r="Z177" i="3"/>
  <c r="Z175" i="3"/>
  <c r="Z214" i="3" s="1"/>
  <c r="Z216" i="3" s="1"/>
  <c r="Z218" i="3" s="1"/>
  <c r="AP199" i="3"/>
  <c r="AP200" i="3" s="1"/>
  <c r="AP186" i="3"/>
  <c r="AP185" i="3"/>
  <c r="AP62" i="3"/>
  <c r="AX5" i="3"/>
  <c r="AX9" i="3" s="1"/>
  <c r="AX19" i="3" s="1"/>
  <c r="AY6" i="3"/>
  <c r="AZ7" i="3"/>
  <c r="AZ71" i="3" s="1"/>
  <c r="AZ69" i="3" s="1"/>
  <c r="AZ205" i="3" s="1"/>
  <c r="BA8" i="3"/>
  <c r="AJ168" i="3"/>
  <c r="AK127" i="3"/>
  <c r="AK149" i="3" s="1"/>
  <c r="AT33" i="3"/>
  <c r="AT57" i="3"/>
  <c r="AT29" i="3"/>
  <c r="AT22" i="3"/>
  <c r="AT24" i="3"/>
  <c r="AT35" i="3"/>
  <c r="AT31" i="3"/>
  <c r="AP122" i="3"/>
  <c r="AP235" i="3" s="1"/>
  <c r="AK168" i="3" l="1"/>
  <c r="AL127" i="3"/>
  <c r="AL149" i="3" s="1"/>
  <c r="AW10" i="3"/>
  <c r="AV14" i="3"/>
  <c r="AQ139" i="3"/>
  <c r="AQ161" i="3" s="1"/>
  <c r="AQ115" i="3"/>
  <c r="AJ224" i="3"/>
  <c r="AJ208" i="3"/>
  <c r="AJ209" i="3" s="1"/>
  <c r="AJ211" i="3" s="1"/>
  <c r="AU57" i="3"/>
  <c r="AU31" i="3"/>
  <c r="AU35" i="3"/>
  <c r="AU22" i="3"/>
  <c r="AU33" i="3"/>
  <c r="AU29" i="3"/>
  <c r="AU37" i="3" s="1"/>
  <c r="AU24" i="3"/>
  <c r="AQ137" i="3"/>
  <c r="AQ159" i="3" s="1"/>
  <c r="AQ113" i="3"/>
  <c r="AQ120" i="3"/>
  <c r="AQ144" i="3"/>
  <c r="AQ166" i="3" s="1"/>
  <c r="BA7" i="3"/>
  <c r="BA71" i="3" s="1"/>
  <c r="BA69" i="3" s="1"/>
  <c r="BA205" i="3" s="1"/>
  <c r="BB8" i="3"/>
  <c r="AQ204" i="3"/>
  <c r="AQ75" i="3"/>
  <c r="AQ106" i="3"/>
  <c r="AQ130" i="3"/>
  <c r="AQ152" i="3" s="1"/>
  <c r="AR198" i="3"/>
  <c r="AR188" i="3"/>
  <c r="AR184" i="3"/>
  <c r="AR183" i="3"/>
  <c r="AR182" i="3"/>
  <c r="AR181" i="3"/>
  <c r="AR90" i="3"/>
  <c r="AR85" i="3"/>
  <c r="AR94" i="3"/>
  <c r="AR98" i="3"/>
  <c r="AR93" i="3"/>
  <c r="AR88" i="3"/>
  <c r="AR87" i="3"/>
  <c r="AR82" i="3"/>
  <c r="AR84" i="3"/>
  <c r="AR81" i="3"/>
  <c r="AR67" i="3"/>
  <c r="AR91" i="3"/>
  <c r="AR73" i="3"/>
  <c r="AR207" i="3" s="1"/>
  <c r="AR72" i="3"/>
  <c r="AR206" i="3" s="1"/>
  <c r="AR60" i="3"/>
  <c r="AR59" i="3"/>
  <c r="AR96" i="3"/>
  <c r="AR58" i="3"/>
  <c r="AR55" i="3"/>
  <c r="AR56" i="3"/>
  <c r="AQ110" i="3"/>
  <c r="AQ134" i="3"/>
  <c r="AQ156" i="3" s="1"/>
  <c r="AQ103" i="3"/>
  <c r="Z187" i="3"/>
  <c r="Z190" i="3" s="1"/>
  <c r="Z192" i="3" s="1"/>
  <c r="AA172" i="3"/>
  <c r="AQ133" i="3"/>
  <c r="AQ155" i="3" s="1"/>
  <c r="AQ109" i="3"/>
  <c r="AT37" i="3"/>
  <c r="AZ6" i="3"/>
  <c r="AY5" i="3"/>
  <c r="AY9" i="3" s="1"/>
  <c r="AY19" i="3" s="1"/>
  <c r="AQ63" i="3"/>
  <c r="AQ112" i="3"/>
  <c r="AQ136" i="3"/>
  <c r="AQ158" i="3" s="1"/>
  <c r="AZ68" i="3"/>
  <c r="BA4" i="3"/>
  <c r="Z219" i="3"/>
  <c r="Z220" i="3"/>
  <c r="Z223" i="3" s="1"/>
  <c r="AQ116" i="3"/>
  <c r="AQ140" i="3"/>
  <c r="AQ162" i="3" s="1"/>
  <c r="AT26" i="3"/>
  <c r="AQ142" i="3"/>
  <c r="AQ164" i="3" s="1"/>
  <c r="AQ118" i="3"/>
  <c r="AQ131" i="3"/>
  <c r="AQ153" i="3" s="1"/>
  <c r="AQ107" i="3"/>
  <c r="AS51" i="3"/>
  <c r="AQ128" i="3"/>
  <c r="AQ150" i="3" s="1"/>
  <c r="AQ104" i="3"/>
  <c r="BA68" i="3" l="1"/>
  <c r="BB4" i="3"/>
  <c r="AR133" i="3"/>
  <c r="AR155" i="3" s="1"/>
  <c r="AR109" i="3"/>
  <c r="AR134" i="3"/>
  <c r="AR156" i="3" s="1"/>
  <c r="AR110" i="3"/>
  <c r="AA173" i="3"/>
  <c r="AA175" i="3"/>
  <c r="AA214" i="3" s="1"/>
  <c r="AA216" i="3" s="1"/>
  <c r="AA218" i="3" s="1"/>
  <c r="AA174" i="3"/>
  <c r="AR63" i="3"/>
  <c r="AR137" i="3"/>
  <c r="AR159" i="3" s="1"/>
  <c r="AR113" i="3"/>
  <c r="AR139" i="3"/>
  <c r="AR161" i="3" s="1"/>
  <c r="AR115" i="3"/>
  <c r="BB7" i="3"/>
  <c r="BB71" i="3" s="1"/>
  <c r="BB69" i="3" s="1"/>
  <c r="BB205" i="3" s="1"/>
  <c r="BC8" i="3"/>
  <c r="AT51" i="3"/>
  <c r="AR204" i="3"/>
  <c r="AR75" i="3"/>
  <c r="AR144" i="3"/>
  <c r="AR166" i="3" s="1"/>
  <c r="AR120" i="3"/>
  <c r="AU26" i="3"/>
  <c r="AU51" i="3" s="1"/>
  <c r="AV35" i="3"/>
  <c r="AV57" i="3"/>
  <c r="AV29" i="3"/>
  <c r="AV31" i="3"/>
  <c r="AV33" i="3"/>
  <c r="AV22" i="3"/>
  <c r="AV24" i="3"/>
  <c r="AQ199" i="3"/>
  <c r="AQ200" i="3" s="1"/>
  <c r="AQ186" i="3"/>
  <c r="AQ185" i="3"/>
  <c r="AQ62" i="3"/>
  <c r="AR140" i="3"/>
  <c r="AR162" i="3" s="1"/>
  <c r="AR116" i="3"/>
  <c r="AR142" i="3"/>
  <c r="AR164" i="3" s="1"/>
  <c r="AR118" i="3"/>
  <c r="AR103" i="3"/>
  <c r="AR107" i="3"/>
  <c r="AR131" i="3"/>
  <c r="AR153" i="3" s="1"/>
  <c r="AZ5" i="3"/>
  <c r="AZ9" i="3" s="1"/>
  <c r="AZ19" i="3" s="1"/>
  <c r="BA6" i="3"/>
  <c r="AR112" i="3"/>
  <c r="AR136" i="3"/>
  <c r="AR158" i="3" s="1"/>
  <c r="AL168" i="3"/>
  <c r="AM127" i="3"/>
  <c r="AM149" i="3" s="1"/>
  <c r="AW14" i="3"/>
  <c r="AX10" i="3"/>
  <c r="AS198" i="3"/>
  <c r="AS188" i="3"/>
  <c r="AS184" i="3"/>
  <c r="AS182" i="3"/>
  <c r="AS181" i="3"/>
  <c r="AS183" i="3"/>
  <c r="AS94" i="3"/>
  <c r="AS98" i="3"/>
  <c r="AS93" i="3"/>
  <c r="AS88" i="3"/>
  <c r="AS87" i="3"/>
  <c r="AS96" i="3"/>
  <c r="AS91" i="3"/>
  <c r="AS84" i="3"/>
  <c r="AS81" i="3"/>
  <c r="AS67" i="3"/>
  <c r="AS73" i="3"/>
  <c r="AS207" i="3" s="1"/>
  <c r="AS90" i="3"/>
  <c r="AS85" i="3"/>
  <c r="AS72" i="3"/>
  <c r="AS206" i="3" s="1"/>
  <c r="AS59" i="3"/>
  <c r="AS56" i="3"/>
  <c r="AS55" i="3"/>
  <c r="AS60" i="3"/>
  <c r="AS58" i="3"/>
  <c r="AS82" i="3"/>
  <c r="AQ122" i="3"/>
  <c r="AQ235" i="3" s="1"/>
  <c r="AR130" i="3"/>
  <c r="AR152" i="3" s="1"/>
  <c r="AR106" i="3"/>
  <c r="AR128" i="3"/>
  <c r="AR150" i="3" s="1"/>
  <c r="AR104" i="3"/>
  <c r="AK224" i="3"/>
  <c r="AK208" i="3"/>
  <c r="AK209" i="3" s="1"/>
  <c r="AK211" i="3" s="1"/>
  <c r="AA177" i="3" l="1"/>
  <c r="AA187" i="3"/>
  <c r="AA190" i="3" s="1"/>
  <c r="AA192" i="3" s="1"/>
  <c r="AB172" i="3"/>
  <c r="AS109" i="3"/>
  <c r="AS133" i="3"/>
  <c r="AS155" i="3" s="1"/>
  <c r="AS134" i="3"/>
  <c r="AS156" i="3" s="1"/>
  <c r="AS110" i="3"/>
  <c r="AS204" i="3"/>
  <c r="AS75" i="3"/>
  <c r="AV26" i="3"/>
  <c r="AS120" i="3"/>
  <c r="AS144" i="3"/>
  <c r="AS166" i="3" s="1"/>
  <c r="AY10" i="3"/>
  <c r="AX14" i="3"/>
  <c r="AS136" i="3"/>
  <c r="AS158" i="3" s="1"/>
  <c r="AS112" i="3"/>
  <c r="AU198" i="3"/>
  <c r="AU188" i="3"/>
  <c r="AU184" i="3"/>
  <c r="AU183" i="3"/>
  <c r="AU181" i="3"/>
  <c r="AU182" i="3"/>
  <c r="AU98" i="3"/>
  <c r="AU93" i="3"/>
  <c r="AU88" i="3"/>
  <c r="AU96" i="3"/>
  <c r="AU91" i="3"/>
  <c r="AU90" i="3"/>
  <c r="AU85" i="3"/>
  <c r="AU73" i="3"/>
  <c r="AU207" i="3" s="1"/>
  <c r="AU60" i="3"/>
  <c r="AU87" i="3"/>
  <c r="AU72" i="3"/>
  <c r="AU206" i="3" s="1"/>
  <c r="AU82" i="3"/>
  <c r="AU56" i="3"/>
  <c r="AU58" i="3"/>
  <c r="AU81" i="3"/>
  <c r="AU55" i="3"/>
  <c r="AU84" i="3"/>
  <c r="AU94" i="3"/>
  <c r="AU59" i="3"/>
  <c r="AU67" i="3"/>
  <c r="BA5" i="3"/>
  <c r="BA9" i="3" s="1"/>
  <c r="BA19" i="3" s="1"/>
  <c r="BB6" i="3"/>
  <c r="AS63" i="3"/>
  <c r="AS103" i="3"/>
  <c r="AS116" i="3"/>
  <c r="AS140" i="3"/>
  <c r="AS162" i="3" s="1"/>
  <c r="AW57" i="3"/>
  <c r="AW29" i="3"/>
  <c r="AW22" i="3"/>
  <c r="AW33" i="3"/>
  <c r="AW31" i="3"/>
  <c r="AW24" i="3"/>
  <c r="AW35" i="3"/>
  <c r="AS130" i="3"/>
  <c r="AS152" i="3" s="1"/>
  <c r="AS106" i="3"/>
  <c r="AR122" i="3"/>
  <c r="AR235" i="3" s="1"/>
  <c r="AS137" i="3"/>
  <c r="AS159" i="3" s="1"/>
  <c r="AS113" i="3"/>
  <c r="AL224" i="3"/>
  <c r="AL208" i="3"/>
  <c r="AL209" i="3" s="1"/>
  <c r="AL211" i="3" s="1"/>
  <c r="BC7" i="3"/>
  <c r="BC71" i="3" s="1"/>
  <c r="BC69" i="3" s="1"/>
  <c r="BC205" i="3" s="1"/>
  <c r="BD8" i="3"/>
  <c r="AA219" i="3"/>
  <c r="AA220" i="3" s="1"/>
  <c r="AA223" i="3" s="1"/>
  <c r="BB68" i="3"/>
  <c r="BC4" i="3"/>
  <c r="AS128" i="3"/>
  <c r="AS150" i="3" s="1"/>
  <c r="AS104" i="3"/>
  <c r="AS115" i="3"/>
  <c r="AS139" i="3"/>
  <c r="AS161" i="3" s="1"/>
  <c r="AR199" i="3"/>
  <c r="AR200" i="3" s="1"/>
  <c r="AR186" i="3"/>
  <c r="AR185" i="3"/>
  <c r="AR62" i="3"/>
  <c r="AM168" i="3"/>
  <c r="AN127" i="3"/>
  <c r="AN149" i="3" s="1"/>
  <c r="AV37" i="3"/>
  <c r="AT198" i="3"/>
  <c r="AT188" i="3"/>
  <c r="AT184" i="3"/>
  <c r="AT183" i="3"/>
  <c r="AT182" i="3"/>
  <c r="AT181" i="3"/>
  <c r="AT84" i="3"/>
  <c r="AT98" i="3"/>
  <c r="AT93" i="3"/>
  <c r="AT88" i="3"/>
  <c r="AT87" i="3"/>
  <c r="AT96" i="3"/>
  <c r="AT91" i="3"/>
  <c r="AT94" i="3"/>
  <c r="AT67" i="3"/>
  <c r="AT73" i="3"/>
  <c r="AT207" i="3" s="1"/>
  <c r="AT60" i="3"/>
  <c r="AT90" i="3"/>
  <c r="AT85" i="3"/>
  <c r="AT72" i="3"/>
  <c r="AT206" i="3" s="1"/>
  <c r="AT59" i="3"/>
  <c r="AT56" i="3"/>
  <c r="AT82" i="3"/>
  <c r="AT58" i="3"/>
  <c r="AT81" i="3"/>
  <c r="AT55" i="3"/>
  <c r="AS131" i="3"/>
  <c r="AS153" i="3" s="1"/>
  <c r="AS107" i="3"/>
  <c r="AS142" i="3"/>
  <c r="AS164" i="3" s="1"/>
  <c r="AS118" i="3"/>
  <c r="AW26" i="3" l="1"/>
  <c r="AT103" i="3"/>
  <c r="AU106" i="3"/>
  <c r="AU120" i="3"/>
  <c r="AT115" i="3"/>
  <c r="AT139" i="3"/>
  <c r="AT161" i="3" s="1"/>
  <c r="AU139" i="3" s="1"/>
  <c r="AU161" i="3" s="1"/>
  <c r="AS199" i="3"/>
  <c r="AS200" i="3" s="1"/>
  <c r="AS185" i="3"/>
  <c r="AS186" i="3"/>
  <c r="AS62" i="3"/>
  <c r="AX29" i="3"/>
  <c r="AX31" i="3"/>
  <c r="AX33" i="3"/>
  <c r="AX57" i="3"/>
  <c r="AX35" i="3"/>
  <c r="AX22" i="3"/>
  <c r="AX24" i="3"/>
  <c r="AU103" i="3"/>
  <c r="BD7" i="3"/>
  <c r="BD71" i="3" s="1"/>
  <c r="BD69" i="3" s="1"/>
  <c r="BD205" i="3" s="1"/>
  <c r="BE8" i="3"/>
  <c r="AW37" i="3"/>
  <c r="AW51" i="3" s="1"/>
  <c r="AU112" i="3"/>
  <c r="AT110" i="3"/>
  <c r="AT134" i="3"/>
  <c r="AT156" i="3" s="1"/>
  <c r="AT130" i="3"/>
  <c r="AT152" i="3" s="1"/>
  <c r="AU130" i="3" s="1"/>
  <c r="AU152" i="3" s="1"/>
  <c r="AT106" i="3"/>
  <c r="AT63" i="3"/>
  <c r="AU204" i="3"/>
  <c r="AU75" i="3"/>
  <c r="AU63" i="3"/>
  <c r="AU137" i="3"/>
  <c r="AU159" i="3" s="1"/>
  <c r="AU113" i="3"/>
  <c r="AU107" i="3"/>
  <c r="AZ10" i="3"/>
  <c r="AY14" i="3"/>
  <c r="AU104" i="3"/>
  <c r="AU118" i="3"/>
  <c r="AT136" i="3"/>
  <c r="AT158" i="3" s="1"/>
  <c r="AU136" i="3" s="1"/>
  <c r="AU158" i="3" s="1"/>
  <c r="AT112" i="3"/>
  <c r="AT144" i="3"/>
  <c r="AT166" i="3" s="1"/>
  <c r="AU144" i="3" s="1"/>
  <c r="AU166" i="3" s="1"/>
  <c r="AT120" i="3"/>
  <c r="AT128" i="3"/>
  <c r="AT150" i="3" s="1"/>
  <c r="AU128" i="3" s="1"/>
  <c r="AU150" i="3" s="1"/>
  <c r="AT104" i="3"/>
  <c r="AT204" i="3"/>
  <c r="AT75" i="3"/>
  <c r="AT140" i="3"/>
  <c r="AT162" i="3" s="1"/>
  <c r="AU140" i="3" s="1"/>
  <c r="AU162" i="3" s="1"/>
  <c r="AT116" i="3"/>
  <c r="AM224" i="3"/>
  <c r="AM208" i="3"/>
  <c r="AM209" i="3" s="1"/>
  <c r="AM211" i="3" s="1"/>
  <c r="AT137" i="3"/>
  <c r="AT159" i="3" s="1"/>
  <c r="AT113" i="3"/>
  <c r="AU116" i="3"/>
  <c r="AU110" i="3"/>
  <c r="AU134" i="3"/>
  <c r="AU156" i="3" s="1"/>
  <c r="AV51" i="3"/>
  <c r="AB173" i="3"/>
  <c r="AB175" i="3"/>
  <c r="AB214" i="3" s="1"/>
  <c r="AB216" i="3" s="1"/>
  <c r="AB218" i="3" s="1"/>
  <c r="AB174" i="3"/>
  <c r="BB5" i="3"/>
  <c r="BB9" i="3" s="1"/>
  <c r="BB19" i="3" s="1"/>
  <c r="BC6" i="3"/>
  <c r="AN168" i="3"/>
  <c r="AO127" i="3"/>
  <c r="AO149" i="3" s="1"/>
  <c r="AT142" i="3"/>
  <c r="AT164" i="3" s="1"/>
  <c r="AU142" i="3" s="1"/>
  <c r="AU164" i="3" s="1"/>
  <c r="AT118" i="3"/>
  <c r="AT131" i="3"/>
  <c r="AT153" i="3" s="1"/>
  <c r="AU131" i="3" s="1"/>
  <c r="AU153" i="3" s="1"/>
  <c r="AT107" i="3"/>
  <c r="AT133" i="3"/>
  <c r="AT155" i="3" s="1"/>
  <c r="AU133" i="3" s="1"/>
  <c r="AU155" i="3" s="1"/>
  <c r="AT109" i="3"/>
  <c r="BC68" i="3"/>
  <c r="BD4" i="3"/>
  <c r="AS122" i="3"/>
  <c r="AS235" i="3" s="1"/>
  <c r="AU109" i="3"/>
  <c r="AU115" i="3"/>
  <c r="AB177" i="3" l="1"/>
  <c r="AB187" i="3" s="1"/>
  <c r="AB190" i="3" s="1"/>
  <c r="AB192" i="3" s="1"/>
  <c r="AC172" i="3"/>
  <c r="AO168" i="3"/>
  <c r="AP127" i="3"/>
  <c r="AP149" i="3" s="1"/>
  <c r="AV198" i="3"/>
  <c r="AV188" i="3"/>
  <c r="AV184" i="3"/>
  <c r="AV181" i="3"/>
  <c r="AV183" i="3"/>
  <c r="AV182" i="3"/>
  <c r="AV87" i="3"/>
  <c r="AV96" i="3"/>
  <c r="AV91" i="3"/>
  <c r="AV90" i="3"/>
  <c r="AV85" i="3"/>
  <c r="AV94" i="3"/>
  <c r="AV93" i="3"/>
  <c r="AV72" i="3"/>
  <c r="AV206" i="3" s="1"/>
  <c r="AV59" i="3"/>
  <c r="AV98" i="3"/>
  <c r="AV82" i="3"/>
  <c r="AV81" i="3"/>
  <c r="AV58" i="3"/>
  <c r="AV55" i="3"/>
  <c r="AV73" i="3"/>
  <c r="AV207" i="3" s="1"/>
  <c r="AV84" i="3"/>
  <c r="AV67" i="3"/>
  <c r="AV60" i="3"/>
  <c r="AV88" i="3"/>
  <c r="AV56" i="3"/>
  <c r="AU199" i="3"/>
  <c r="AU200" i="3" s="1"/>
  <c r="AU185" i="3"/>
  <c r="AU186" i="3"/>
  <c r="AU62" i="3"/>
  <c r="AX37" i="3"/>
  <c r="BD68" i="3"/>
  <c r="BE4" i="3"/>
  <c r="AY57" i="3"/>
  <c r="AY22" i="3"/>
  <c r="AY26" i="3" s="1"/>
  <c r="AY24" i="3"/>
  <c r="AY35" i="3"/>
  <c r="AY29" i="3"/>
  <c r="AY31" i="3"/>
  <c r="AY33" i="3"/>
  <c r="BD6" i="3"/>
  <c r="BC5" i="3"/>
  <c r="BC9" i="3" s="1"/>
  <c r="BC19" i="3" s="1"/>
  <c r="AZ14" i="3"/>
  <c r="BA10" i="3"/>
  <c r="AU122" i="3"/>
  <c r="AU235" i="3" s="1"/>
  <c r="AT185" i="3"/>
  <c r="AT186" i="3"/>
  <c r="AT199" i="3"/>
  <c r="AT200" i="3" s="1"/>
  <c r="AT62" i="3"/>
  <c r="AX26" i="3"/>
  <c r="AN224" i="3"/>
  <c r="AN208" i="3"/>
  <c r="AN209" i="3" s="1"/>
  <c r="AN211" i="3" s="1"/>
  <c r="BF8" i="3"/>
  <c r="BE7" i="3"/>
  <c r="BE71" i="3" s="1"/>
  <c r="BE69" i="3" s="1"/>
  <c r="BE205" i="3" s="1"/>
  <c r="AB219" i="3"/>
  <c r="AB220" i="3" s="1"/>
  <c r="AB223" i="3" s="1"/>
  <c r="AW183" i="3"/>
  <c r="AW184" i="3"/>
  <c r="AW198" i="3"/>
  <c r="AW188" i="3"/>
  <c r="AW182" i="3"/>
  <c r="AW181" i="3"/>
  <c r="AW87" i="3"/>
  <c r="AW96" i="3"/>
  <c r="AW91" i="3"/>
  <c r="AW90" i="3"/>
  <c r="AW85" i="3"/>
  <c r="AW94" i="3"/>
  <c r="AW84" i="3"/>
  <c r="AW93" i="3"/>
  <c r="AW72" i="3"/>
  <c r="AW206" i="3" s="1"/>
  <c r="AW59" i="3"/>
  <c r="AW98" i="3"/>
  <c r="AW82" i="3"/>
  <c r="AW81" i="3"/>
  <c r="AW88" i="3"/>
  <c r="AW67" i="3"/>
  <c r="AW55" i="3"/>
  <c r="AW73" i="3"/>
  <c r="AW207" i="3" s="1"/>
  <c r="AW60" i="3"/>
  <c r="AW56" i="3"/>
  <c r="AW58" i="3"/>
  <c r="AT122" i="3"/>
  <c r="AT235" i="3" s="1"/>
  <c r="AV63" i="3" l="1"/>
  <c r="AW106" i="3"/>
  <c r="AW110" i="3"/>
  <c r="AW116" i="3"/>
  <c r="BG8" i="3"/>
  <c r="BF7" i="3"/>
  <c r="BF71" i="3" s="1"/>
  <c r="BF69" i="3" s="1"/>
  <c r="BF205" i="3" s="1"/>
  <c r="BE6" i="3"/>
  <c r="BD5" i="3"/>
  <c r="BD9" i="3" s="1"/>
  <c r="BD19" i="3" s="1"/>
  <c r="BE68" i="3"/>
  <c r="BF4" i="3"/>
  <c r="AV134" i="3"/>
  <c r="AV156" i="3" s="1"/>
  <c r="AW134" i="3" s="1"/>
  <c r="AW156" i="3" s="1"/>
  <c r="AV110" i="3"/>
  <c r="AV103" i="3"/>
  <c r="AV136" i="3"/>
  <c r="AV158" i="3" s="1"/>
  <c r="AW136" i="3" s="1"/>
  <c r="AW158" i="3" s="1"/>
  <c r="AV112" i="3"/>
  <c r="AW204" i="3"/>
  <c r="AW75" i="3"/>
  <c r="AV199" i="3"/>
  <c r="AV200" i="3" s="1"/>
  <c r="AV186" i="3"/>
  <c r="AV185" i="3"/>
  <c r="AW103" i="3"/>
  <c r="AW131" i="3"/>
  <c r="AW153" i="3" s="1"/>
  <c r="AW107" i="3"/>
  <c r="AV128" i="3"/>
  <c r="AV150" i="3" s="1"/>
  <c r="AV104" i="3"/>
  <c r="AV113" i="3"/>
  <c r="AV137" i="3"/>
  <c r="AV159" i="3" s="1"/>
  <c r="AW137" i="3" s="1"/>
  <c r="AW159" i="3" s="1"/>
  <c r="AW112" i="3"/>
  <c r="AV204" i="3"/>
  <c r="AV75" i="3"/>
  <c r="AV142" i="3"/>
  <c r="AV164" i="3" s="1"/>
  <c r="AW142" i="3" s="1"/>
  <c r="AW164" i="3" s="1"/>
  <c r="AV118" i="3"/>
  <c r="AW144" i="3"/>
  <c r="AW166" i="3" s="1"/>
  <c r="AW120" i="3"/>
  <c r="AW113" i="3"/>
  <c r="AY37" i="3"/>
  <c r="AY51" i="3" s="1"/>
  <c r="AV62" i="3"/>
  <c r="AV109" i="3"/>
  <c r="AV133" i="3"/>
  <c r="AV155" i="3" s="1"/>
  <c r="AO224" i="3"/>
  <c r="AO208" i="3"/>
  <c r="AO209" i="3" s="1"/>
  <c r="AO211" i="3" s="1"/>
  <c r="AZ57" i="3"/>
  <c r="AZ31" i="3"/>
  <c r="AZ33" i="3"/>
  <c r="AZ35" i="3"/>
  <c r="AZ22" i="3"/>
  <c r="AZ29" i="3"/>
  <c r="AZ24" i="3"/>
  <c r="AV140" i="3"/>
  <c r="AV162" i="3" s="1"/>
  <c r="AW140" i="3" s="1"/>
  <c r="AW162" i="3" s="1"/>
  <c r="AV116" i="3"/>
  <c r="AV131" i="3"/>
  <c r="AV153" i="3" s="1"/>
  <c r="AV107" i="3"/>
  <c r="AW128" i="3"/>
  <c r="AW150" i="3" s="1"/>
  <c r="AW104" i="3"/>
  <c r="AV144" i="3"/>
  <c r="AV166" i="3" s="1"/>
  <c r="AV120" i="3"/>
  <c r="AW63" i="3"/>
  <c r="AX51" i="3"/>
  <c r="AV130" i="3"/>
  <c r="AV152" i="3" s="1"/>
  <c r="AW130" i="3" s="1"/>
  <c r="AW152" i="3" s="1"/>
  <c r="AV106" i="3"/>
  <c r="AC175" i="3"/>
  <c r="AC214" i="3" s="1"/>
  <c r="AC216" i="3" s="1"/>
  <c r="AC218" i="3" s="1"/>
  <c r="AC174" i="3"/>
  <c r="AC173" i="3"/>
  <c r="AC177" i="3" s="1"/>
  <c r="AW115" i="3"/>
  <c r="AP168" i="3"/>
  <c r="AQ127" i="3"/>
  <c r="AQ149" i="3" s="1"/>
  <c r="AW118" i="3"/>
  <c r="AW109" i="3"/>
  <c r="AW133" i="3"/>
  <c r="AW155" i="3" s="1"/>
  <c r="BA14" i="3"/>
  <c r="BB10" i="3"/>
  <c r="AV139" i="3"/>
  <c r="AV161" i="3" s="1"/>
  <c r="AW139" i="3" s="1"/>
  <c r="AW161" i="3" s="1"/>
  <c r="AV115" i="3"/>
  <c r="AC187" i="3" l="1"/>
  <c r="AC190" i="3" s="1"/>
  <c r="AC192" i="3" s="1"/>
  <c r="AD172" i="3"/>
  <c r="AZ37" i="3"/>
  <c r="AW122" i="3"/>
  <c r="AW235" i="3" s="1"/>
  <c r="BF6" i="3"/>
  <c r="BE5" i="3"/>
  <c r="BE9" i="3" s="1"/>
  <c r="BE19" i="3" s="1"/>
  <c r="AZ26" i="3"/>
  <c r="AQ168" i="3"/>
  <c r="AR127" i="3"/>
  <c r="AR149" i="3" s="1"/>
  <c r="AP224" i="3"/>
  <c r="AP208" i="3"/>
  <c r="AP209" i="3" s="1"/>
  <c r="AP211" i="3" s="1"/>
  <c r="AV122" i="3"/>
  <c r="AV235" i="3" s="1"/>
  <c r="BF68" i="3"/>
  <c r="BG4" i="3"/>
  <c r="AC219" i="3"/>
  <c r="AC220" i="3" s="1"/>
  <c r="AC223" i="3" s="1"/>
  <c r="AY198" i="3"/>
  <c r="AY188" i="3"/>
  <c r="AY182" i="3"/>
  <c r="AY183" i="3"/>
  <c r="AY181" i="3"/>
  <c r="AY184" i="3"/>
  <c r="AY90" i="3"/>
  <c r="AY85" i="3"/>
  <c r="AY94" i="3"/>
  <c r="AY84" i="3"/>
  <c r="AY98" i="3"/>
  <c r="AY93" i="3"/>
  <c r="AY88" i="3"/>
  <c r="AY58" i="3"/>
  <c r="AY82" i="3"/>
  <c r="AY91" i="3"/>
  <c r="AY81" i="3"/>
  <c r="AY67" i="3"/>
  <c r="AY73" i="3"/>
  <c r="AY207" i="3" s="1"/>
  <c r="AY96" i="3"/>
  <c r="AY72" i="3"/>
  <c r="AY206" i="3" s="1"/>
  <c r="AY56" i="3"/>
  <c r="AY87" i="3"/>
  <c r="AY59" i="3"/>
  <c r="AY60" i="3"/>
  <c r="AY55" i="3"/>
  <c r="BC10" i="3"/>
  <c r="BB14" i="3"/>
  <c r="AX198" i="3"/>
  <c r="AX188" i="3"/>
  <c r="AX184" i="3"/>
  <c r="AX182" i="3"/>
  <c r="AX181" i="3"/>
  <c r="AX183" i="3"/>
  <c r="AX96" i="3"/>
  <c r="AX91" i="3"/>
  <c r="AX90" i="3"/>
  <c r="AX94" i="3"/>
  <c r="AX98" i="3"/>
  <c r="AX93" i="3"/>
  <c r="AX88" i="3"/>
  <c r="AX87" i="3"/>
  <c r="AX58" i="3"/>
  <c r="AX85" i="3"/>
  <c r="AX82" i="3"/>
  <c r="AX81" i="3"/>
  <c r="AX67" i="3"/>
  <c r="AX84" i="3"/>
  <c r="AX73" i="3"/>
  <c r="AX207" i="3" s="1"/>
  <c r="AX60" i="3"/>
  <c r="AX56" i="3"/>
  <c r="AX59" i="3"/>
  <c r="AX55" i="3"/>
  <c r="AX72" i="3"/>
  <c r="AX206" i="3" s="1"/>
  <c r="BA57" i="3"/>
  <c r="BA29" i="3"/>
  <c r="BA33" i="3"/>
  <c r="BA35" i="3"/>
  <c r="BA31" i="3"/>
  <c r="BA22" i="3"/>
  <c r="BA24" i="3"/>
  <c r="AW199" i="3"/>
  <c r="AW200" i="3" s="1"/>
  <c r="AW186" i="3"/>
  <c r="AW185" i="3"/>
  <c r="AW62" i="3"/>
  <c r="BH8" i="3"/>
  <c r="BG7" i="3"/>
  <c r="BG71" i="3" s="1"/>
  <c r="BG69" i="3" s="1"/>
  <c r="BG205" i="3" s="1"/>
  <c r="BA26" i="3" l="1"/>
  <c r="AX204" i="3"/>
  <c r="AX75" i="3"/>
  <c r="AX139" i="3"/>
  <c r="AX161" i="3" s="1"/>
  <c r="AX115" i="3"/>
  <c r="AY204" i="3"/>
  <c r="AY75" i="3"/>
  <c r="AY106" i="3"/>
  <c r="BC14" i="3"/>
  <c r="BD10" i="3"/>
  <c r="AX133" i="3"/>
  <c r="AX155" i="3" s="1"/>
  <c r="AY133" i="3" s="1"/>
  <c r="AY155" i="3" s="1"/>
  <c r="AX109" i="3"/>
  <c r="AY139" i="3"/>
  <c r="AY161" i="3" s="1"/>
  <c r="AY115" i="3"/>
  <c r="BA37" i="3"/>
  <c r="BA51" i="3" s="1"/>
  <c r="AX134" i="3"/>
  <c r="AX156" i="3" s="1"/>
  <c r="AY134" i="3" s="1"/>
  <c r="AY156" i="3" s="1"/>
  <c r="AX110" i="3"/>
  <c r="AY120" i="3"/>
  <c r="AX144" i="3"/>
  <c r="AX166" i="3" s="1"/>
  <c r="AY144" i="3" s="1"/>
  <c r="AY166" i="3" s="1"/>
  <c r="AX120" i="3"/>
  <c r="AY103" i="3"/>
  <c r="AY116" i="3"/>
  <c r="AX103" i="3"/>
  <c r="AX140" i="3"/>
  <c r="AX162" i="3" s="1"/>
  <c r="AY140" i="3" s="1"/>
  <c r="AY162" i="3" s="1"/>
  <c r="AX116" i="3"/>
  <c r="AY109" i="3"/>
  <c r="AY113" i="3"/>
  <c r="AY107" i="3"/>
  <c r="AQ224" i="3"/>
  <c r="AQ208" i="3"/>
  <c r="AQ209" i="3" s="1"/>
  <c r="AQ211" i="3" s="1"/>
  <c r="AX142" i="3"/>
  <c r="AX164" i="3" s="1"/>
  <c r="AY142" i="3" s="1"/>
  <c r="AY164" i="3" s="1"/>
  <c r="AX118" i="3"/>
  <c r="AY110" i="3"/>
  <c r="BF5" i="3"/>
  <c r="BF9" i="3" s="1"/>
  <c r="BF19" i="3" s="1"/>
  <c r="BG6" i="3"/>
  <c r="AY118" i="3"/>
  <c r="AX130" i="3"/>
  <c r="AX152" i="3" s="1"/>
  <c r="AY130" i="3" s="1"/>
  <c r="AY152" i="3" s="1"/>
  <c r="AX106" i="3"/>
  <c r="AX128" i="3"/>
  <c r="AX150" i="3" s="1"/>
  <c r="AY128" i="3" s="1"/>
  <c r="AY150" i="3" s="1"/>
  <c r="AX104" i="3"/>
  <c r="AX112" i="3"/>
  <c r="AX136" i="3"/>
  <c r="AX158" i="3" s="1"/>
  <c r="AY63" i="3"/>
  <c r="AY104" i="3"/>
  <c r="AY112" i="3"/>
  <c r="AY136" i="3"/>
  <c r="AY158" i="3" s="1"/>
  <c r="AZ51" i="3"/>
  <c r="AD175" i="3"/>
  <c r="AD214" i="3" s="1"/>
  <c r="AD216" i="3" s="1"/>
  <c r="AD218" i="3" s="1"/>
  <c r="AD174" i="3"/>
  <c r="AD173" i="3"/>
  <c r="AD177" i="3" s="1"/>
  <c r="AR168" i="3"/>
  <c r="AS127" i="3"/>
  <c r="AS149" i="3" s="1"/>
  <c r="BH7" i="3"/>
  <c r="BH71" i="3" s="1"/>
  <c r="BH69" i="3" s="1"/>
  <c r="BH205" i="3" s="1"/>
  <c r="BI8" i="3"/>
  <c r="BI7" i="3" s="1"/>
  <c r="BI71" i="3" s="1"/>
  <c r="BI69" i="3" s="1"/>
  <c r="BI205" i="3" s="1"/>
  <c r="AX63" i="3"/>
  <c r="AX107" i="3"/>
  <c r="AX131" i="3"/>
  <c r="AX153" i="3" s="1"/>
  <c r="AY131" i="3" s="1"/>
  <c r="AY153" i="3" s="1"/>
  <c r="AX113" i="3"/>
  <c r="AX137" i="3"/>
  <c r="AX159" i="3" s="1"/>
  <c r="AY137" i="3" s="1"/>
  <c r="AY159" i="3" s="1"/>
  <c r="BB33" i="3"/>
  <c r="BB57" i="3"/>
  <c r="BB24" i="3"/>
  <c r="BB29" i="3"/>
  <c r="BB22" i="3"/>
  <c r="BB31" i="3"/>
  <c r="BB35" i="3"/>
  <c r="BG68" i="3"/>
  <c r="BH4" i="3"/>
  <c r="BA198" i="3" l="1"/>
  <c r="BA188" i="3"/>
  <c r="BA184" i="3"/>
  <c r="BA182" i="3"/>
  <c r="BA183" i="3"/>
  <c r="BA181" i="3"/>
  <c r="BA94" i="3"/>
  <c r="BA84" i="3"/>
  <c r="BA98" i="3"/>
  <c r="BA93" i="3"/>
  <c r="BA88" i="3"/>
  <c r="BA87" i="3"/>
  <c r="BA96" i="3"/>
  <c r="BA91" i="3"/>
  <c r="BA82" i="3"/>
  <c r="BA81" i="3"/>
  <c r="BA85" i="3"/>
  <c r="BA67" i="3"/>
  <c r="BA90" i="3"/>
  <c r="BA73" i="3"/>
  <c r="BA207" i="3" s="1"/>
  <c r="BA72" i="3"/>
  <c r="BA206" i="3" s="1"/>
  <c r="BA60" i="3"/>
  <c r="BA56" i="3"/>
  <c r="BA63" i="3" s="1"/>
  <c r="BA55" i="3"/>
  <c r="BA58" i="3"/>
  <c r="BA59" i="3"/>
  <c r="AY122" i="3"/>
  <c r="AY235" i="3" s="1"/>
  <c r="BH68" i="3"/>
  <c r="BI4" i="3"/>
  <c r="AX122" i="3"/>
  <c r="AX235" i="3" s="1"/>
  <c r="AR224" i="3"/>
  <c r="AR208" i="3"/>
  <c r="AR209" i="3" s="1"/>
  <c r="AR211" i="3" s="1"/>
  <c r="BH6" i="3"/>
  <c r="BG5" i="3"/>
  <c r="BG9" i="3" s="1"/>
  <c r="BG19" i="3" s="1"/>
  <c r="AD187" i="3"/>
  <c r="AD190" i="3" s="1"/>
  <c r="AD192" i="3" s="1"/>
  <c r="AE172" i="3"/>
  <c r="BB26" i="3"/>
  <c r="AY199" i="3"/>
  <c r="AY200" i="3" s="1"/>
  <c r="AY186" i="3"/>
  <c r="AY185" i="3"/>
  <c r="AY62" i="3"/>
  <c r="BD14" i="3"/>
  <c r="BE10" i="3"/>
  <c r="AZ188" i="3"/>
  <c r="AZ184" i="3"/>
  <c r="AZ198" i="3"/>
  <c r="AZ182" i="3"/>
  <c r="AZ183" i="3"/>
  <c r="AZ181" i="3"/>
  <c r="AZ90" i="3"/>
  <c r="AZ85" i="3"/>
  <c r="AZ94" i="3"/>
  <c r="AZ98" i="3"/>
  <c r="AZ93" i="3"/>
  <c r="AZ88" i="3"/>
  <c r="AZ87" i="3"/>
  <c r="AZ82" i="3"/>
  <c r="AZ91" i="3"/>
  <c r="AZ81" i="3"/>
  <c r="AZ67" i="3"/>
  <c r="AZ73" i="3"/>
  <c r="AZ207" i="3" s="1"/>
  <c r="AZ96" i="3"/>
  <c r="AZ84" i="3"/>
  <c r="AZ72" i="3"/>
  <c r="AZ206" i="3" s="1"/>
  <c r="AZ60" i="3"/>
  <c r="AZ59" i="3"/>
  <c r="AZ55" i="3"/>
  <c r="AZ58" i="3"/>
  <c r="AZ56" i="3"/>
  <c r="AS168" i="3"/>
  <c r="AT127" i="3"/>
  <c r="AT149" i="3" s="1"/>
  <c r="BB37" i="3"/>
  <c r="AX186" i="3"/>
  <c r="AX185" i="3"/>
  <c r="AX199" i="3"/>
  <c r="AX200" i="3" s="1"/>
  <c r="AX62" i="3"/>
  <c r="BC57" i="3"/>
  <c r="BC35" i="3"/>
  <c r="BC31" i="3"/>
  <c r="BC22" i="3"/>
  <c r="BC29" i="3"/>
  <c r="BC24" i="3"/>
  <c r="BC33" i="3"/>
  <c r="AD219" i="3"/>
  <c r="AD220" i="3" s="1"/>
  <c r="AD223" i="3" s="1"/>
  <c r="AZ140" i="3" l="1"/>
  <c r="AZ162" i="3" s="1"/>
  <c r="AZ116" i="3"/>
  <c r="AE175" i="3"/>
  <c r="AE214" i="3" s="1"/>
  <c r="AE216" i="3" s="1"/>
  <c r="AE218" i="3" s="1"/>
  <c r="AE174" i="3"/>
  <c r="AE173" i="3"/>
  <c r="BA185" i="3"/>
  <c r="BA199" i="3"/>
  <c r="BA186" i="3"/>
  <c r="BA103" i="3"/>
  <c r="BA106" i="3"/>
  <c r="AZ103" i="3"/>
  <c r="AZ107" i="3"/>
  <c r="AZ131" i="3"/>
  <c r="AZ153" i="3" s="1"/>
  <c r="BE14" i="3"/>
  <c r="BF10" i="3"/>
  <c r="BA104" i="3"/>
  <c r="BC37" i="3"/>
  <c r="AZ137" i="3"/>
  <c r="AZ159" i="3" s="1"/>
  <c r="AZ113" i="3"/>
  <c r="AZ112" i="3"/>
  <c r="AZ136" i="3"/>
  <c r="AZ158" i="3" s="1"/>
  <c r="BD35" i="3"/>
  <c r="BD57" i="3"/>
  <c r="BD31" i="3"/>
  <c r="BD29" i="3"/>
  <c r="BD22" i="3"/>
  <c r="BD33" i="3"/>
  <c r="BD24" i="3"/>
  <c r="BI68" i="3"/>
  <c r="BK43" i="3"/>
  <c r="BL7" i="3"/>
  <c r="BL56" i="3"/>
  <c r="BK205" i="3"/>
  <c r="BM90" i="3"/>
  <c r="BM115" i="3"/>
  <c r="BN162" i="3"/>
  <c r="BN82" i="3"/>
  <c r="BL168" i="3"/>
  <c r="G11" i="4" s="1"/>
  <c r="BM142" i="3"/>
  <c r="BM181" i="3"/>
  <c r="BL155" i="3"/>
  <c r="BL113" i="3"/>
  <c r="BM60" i="3"/>
  <c r="BN203" i="3"/>
  <c r="BL142" i="3"/>
  <c r="BN120" i="3"/>
  <c r="BM188" i="3"/>
  <c r="BM185" i="3"/>
  <c r="BL122" i="3"/>
  <c r="G12" i="4" s="1"/>
  <c r="BN136" i="3"/>
  <c r="BM159" i="3"/>
  <c r="BM84" i="3"/>
  <c r="BL140" i="3"/>
  <c r="BN116" i="3"/>
  <c r="BM88" i="3"/>
  <c r="BN140" i="3"/>
  <c r="BM158" i="3"/>
  <c r="BL161" i="3"/>
  <c r="BN158" i="3"/>
  <c r="BN112" i="3"/>
  <c r="BL127" i="3"/>
  <c r="BN199" i="3"/>
  <c r="BN37" i="3"/>
  <c r="BL166" i="3"/>
  <c r="BL175" i="3"/>
  <c r="BN73" i="3"/>
  <c r="BL207" i="3"/>
  <c r="BL5" i="3"/>
  <c r="BM33" i="3"/>
  <c r="BL57" i="3"/>
  <c r="BN207" i="3"/>
  <c r="BM109" i="3"/>
  <c r="BL96" i="3"/>
  <c r="BL203" i="3"/>
  <c r="BL184" i="3"/>
  <c r="BN185" i="3"/>
  <c r="BL177" i="3"/>
  <c r="BL198" i="3"/>
  <c r="BN14" i="3"/>
  <c r="BN183" i="3"/>
  <c r="BL26" i="3"/>
  <c r="BL205" i="3"/>
  <c r="BL67" i="3"/>
  <c r="BM104" i="3"/>
  <c r="BK14" i="3"/>
  <c r="BL215" i="3"/>
  <c r="BL152" i="3"/>
  <c r="BL29" i="3"/>
  <c r="BM75" i="3"/>
  <c r="BL219" i="3"/>
  <c r="BL106" i="3"/>
  <c r="BM43" i="3"/>
  <c r="BL208" i="3"/>
  <c r="BM209" i="3"/>
  <c r="BL216" i="3"/>
  <c r="BM58" i="3"/>
  <c r="BM46" i="3"/>
  <c r="BK71" i="3"/>
  <c r="BM24" i="3"/>
  <c r="BM215" i="3"/>
  <c r="BL22" i="3"/>
  <c r="BM35" i="3"/>
  <c r="BM144" i="3"/>
  <c r="BN128" i="3"/>
  <c r="BM200" i="3"/>
  <c r="BM14" i="3"/>
  <c r="BL185" i="3"/>
  <c r="BL153" i="3"/>
  <c r="BM40" i="3"/>
  <c r="BK10" i="3"/>
  <c r="BM82" i="3"/>
  <c r="BK40" i="3"/>
  <c r="BM94" i="3"/>
  <c r="BL35" i="3"/>
  <c r="BM140" i="3"/>
  <c r="BN26" i="3"/>
  <c r="BM131" i="3"/>
  <c r="BL88" i="3"/>
  <c r="BL110" i="3"/>
  <c r="BN131" i="3"/>
  <c r="BN7" i="3"/>
  <c r="BL120" i="3"/>
  <c r="BM161" i="3"/>
  <c r="BL107" i="3"/>
  <c r="BL204" i="3"/>
  <c r="BN164" i="3"/>
  <c r="BN35" i="3"/>
  <c r="BO66" i="3"/>
  <c r="BM73" i="3"/>
  <c r="BL211" i="3"/>
  <c r="BN75" i="3"/>
  <c r="BN115" i="3"/>
  <c r="BL158" i="3"/>
  <c r="BN133" i="3"/>
  <c r="BL31" i="3"/>
  <c r="BN110" i="3"/>
  <c r="BM153" i="3"/>
  <c r="BL186" i="3"/>
  <c r="BM205" i="3"/>
  <c r="BL206" i="3"/>
  <c r="BN104" i="3"/>
  <c r="BL93" i="3"/>
  <c r="BL199" i="3"/>
  <c r="BN31" i="3"/>
  <c r="BL48" i="3"/>
  <c r="BM51" i="3"/>
  <c r="BO215" i="3"/>
  <c r="BN84" i="3"/>
  <c r="BL214" i="3"/>
  <c r="G23" i="4" s="1"/>
  <c r="BM183" i="3"/>
  <c r="BN71" i="3"/>
  <c r="BL33" i="3"/>
  <c r="BO70" i="3"/>
  <c r="BM48" i="3"/>
  <c r="BM85" i="3"/>
  <c r="BO40" i="3"/>
  <c r="BL70" i="3"/>
  <c r="BM71" i="3"/>
  <c r="BM184" i="3"/>
  <c r="BN19" i="3"/>
  <c r="BM87" i="3"/>
  <c r="BM91" i="3"/>
  <c r="BN152" i="3"/>
  <c r="BM198" i="3"/>
  <c r="BN81" i="3"/>
  <c r="BN144" i="3"/>
  <c r="BL9" i="3"/>
  <c r="BM164" i="3"/>
  <c r="BN156" i="3"/>
  <c r="BM5" i="3"/>
  <c r="BL73" i="3"/>
  <c r="BK48" i="3"/>
  <c r="BL183" i="3"/>
  <c r="BL190" i="3"/>
  <c r="BN184" i="3"/>
  <c r="BM208" i="3"/>
  <c r="BM203" i="3"/>
  <c r="BM113" i="3"/>
  <c r="BL172" i="3"/>
  <c r="BL133" i="3"/>
  <c r="BL220" i="3"/>
  <c r="G10" i="4" s="1"/>
  <c r="BM207" i="3"/>
  <c r="BL60" i="3"/>
  <c r="BL136" i="3"/>
  <c r="BM166" i="3"/>
  <c r="BL209" i="3"/>
  <c r="BN10" i="3"/>
  <c r="BN181" i="3"/>
  <c r="BN9" i="3"/>
  <c r="BN94" i="3"/>
  <c r="BL118" i="3"/>
  <c r="BL43" i="3"/>
  <c r="BL162" i="3"/>
  <c r="BO48" i="3"/>
  <c r="BL94" i="3"/>
  <c r="BL188" i="3"/>
  <c r="BL137" i="3"/>
  <c r="BM116" i="3"/>
  <c r="BN134" i="3"/>
  <c r="BN198" i="3"/>
  <c r="BM93" i="3"/>
  <c r="BN122" i="3"/>
  <c r="I12" i="4" s="1"/>
  <c r="BM122" i="3"/>
  <c r="H12" i="4" s="1"/>
  <c r="BM66" i="3"/>
  <c r="BL55" i="3"/>
  <c r="BN58" i="3"/>
  <c r="BN88" i="3"/>
  <c r="BK215" i="3"/>
  <c r="BM134" i="3"/>
  <c r="BN139" i="3"/>
  <c r="BN161" i="3"/>
  <c r="BK203" i="3"/>
  <c r="BN103" i="3"/>
  <c r="BN56" i="3"/>
  <c r="BL149" i="3"/>
  <c r="BN118" i="3"/>
  <c r="BM7" i="3"/>
  <c r="BL182" i="3"/>
  <c r="BL187" i="3"/>
  <c r="BL112" i="3"/>
  <c r="BM29" i="3"/>
  <c r="BK70" i="3"/>
  <c r="BN182" i="3"/>
  <c r="BN40" i="3"/>
  <c r="BL87" i="3"/>
  <c r="BM70" i="3"/>
  <c r="BN109" i="3"/>
  <c r="BN206" i="3"/>
  <c r="BM72" i="3"/>
  <c r="BN66" i="3"/>
  <c r="BN24" i="3"/>
  <c r="BL174" i="3"/>
  <c r="BL40" i="3"/>
  <c r="BL218" i="3"/>
  <c r="BL173" i="3"/>
  <c r="BL63" i="3"/>
  <c r="BK7" i="3"/>
  <c r="BL71" i="3"/>
  <c r="BN96" i="3"/>
  <c r="BL128" i="3"/>
  <c r="BL58" i="3"/>
  <c r="BM133" i="3"/>
  <c r="BL144" i="3"/>
  <c r="BL159" i="3"/>
  <c r="BN57" i="3"/>
  <c r="BL131" i="3"/>
  <c r="BN29" i="3"/>
  <c r="BM172" i="3"/>
  <c r="BN205" i="3"/>
  <c r="BM152" i="3"/>
  <c r="BM26" i="3"/>
  <c r="BL84" i="3"/>
  <c r="BN137" i="3"/>
  <c r="BL72" i="3"/>
  <c r="BM120" i="3"/>
  <c r="BL14" i="3"/>
  <c r="BN59" i="3"/>
  <c r="BN5" i="3"/>
  <c r="BM128" i="3"/>
  <c r="BN150" i="3"/>
  <c r="BN51" i="3"/>
  <c r="BM63" i="3"/>
  <c r="BO205" i="3"/>
  <c r="BM199" i="3"/>
  <c r="BN186" i="3"/>
  <c r="BM31" i="3"/>
  <c r="BL164" i="3"/>
  <c r="BK172" i="3"/>
  <c r="BM67" i="3"/>
  <c r="BN166" i="3"/>
  <c r="BL104" i="3"/>
  <c r="BN142" i="3"/>
  <c r="BN48" i="3"/>
  <c r="BM56" i="3"/>
  <c r="BM204" i="3"/>
  <c r="BN106" i="3"/>
  <c r="BM19" i="3"/>
  <c r="BL51" i="3"/>
  <c r="BL62" i="3" s="1"/>
  <c r="BL181" i="3"/>
  <c r="BL109" i="3"/>
  <c r="BM186" i="3"/>
  <c r="BN204" i="3"/>
  <c r="BL98" i="3"/>
  <c r="BM156" i="3"/>
  <c r="BN215" i="3"/>
  <c r="BN155" i="3"/>
  <c r="BM55" i="3"/>
  <c r="BL82" i="3"/>
  <c r="BM59" i="3"/>
  <c r="BL134" i="3"/>
  <c r="BL46" i="3"/>
  <c r="BL59" i="3"/>
  <c r="BN130" i="3"/>
  <c r="BK177" i="3"/>
  <c r="BL156" i="3"/>
  <c r="BN70" i="3"/>
  <c r="BL91" i="3"/>
  <c r="BM22" i="3"/>
  <c r="BN98" i="3"/>
  <c r="BN67" i="3"/>
  <c r="BN85" i="3"/>
  <c r="BM106" i="3"/>
  <c r="BM98" i="3"/>
  <c r="BO43" i="3"/>
  <c r="BN72" i="3"/>
  <c r="BM211" i="3"/>
  <c r="BO75" i="3"/>
  <c r="BL116" i="3"/>
  <c r="BL130" i="3"/>
  <c r="BL10" i="3"/>
  <c r="BM112" i="3"/>
  <c r="BM162" i="3"/>
  <c r="BO71" i="3"/>
  <c r="BM127" i="3"/>
  <c r="BN87" i="3"/>
  <c r="BO203" i="3"/>
  <c r="BM168" i="3"/>
  <c r="H11" i="4" s="1"/>
  <c r="BM57" i="3"/>
  <c r="BN33" i="3"/>
  <c r="BK46" i="3"/>
  <c r="BM149" i="3"/>
  <c r="BM182" i="3"/>
  <c r="BL85" i="3"/>
  <c r="BM139" i="3"/>
  <c r="BL200" i="3"/>
  <c r="BN188" i="3"/>
  <c r="BM155" i="3"/>
  <c r="BL139" i="3"/>
  <c r="BM103" i="3"/>
  <c r="BN46" i="3"/>
  <c r="BN91" i="3"/>
  <c r="BN153" i="3"/>
  <c r="BN107" i="3"/>
  <c r="BM118" i="3"/>
  <c r="BM130" i="3"/>
  <c r="BN113" i="3"/>
  <c r="BM136" i="3"/>
  <c r="BN55" i="3"/>
  <c r="BN93" i="3"/>
  <c r="BN43" i="3"/>
  <c r="BL24" i="3"/>
  <c r="BK66" i="3"/>
  <c r="BO7" i="3"/>
  <c r="BO46" i="3"/>
  <c r="BM110" i="3"/>
  <c r="BL19" i="3"/>
  <c r="BL81" i="3"/>
  <c r="BM81" i="3"/>
  <c r="BM150" i="3"/>
  <c r="BM9" i="3"/>
  <c r="BL150" i="3"/>
  <c r="BL103" i="3"/>
  <c r="BN90" i="3"/>
  <c r="BM206" i="3"/>
  <c r="BM96" i="3"/>
  <c r="BL37" i="3"/>
  <c r="BM107" i="3"/>
  <c r="BN159" i="3"/>
  <c r="BN200" i="3"/>
  <c r="BM137" i="3"/>
  <c r="BL90" i="3"/>
  <c r="BM37" i="3"/>
  <c r="BN60" i="3"/>
  <c r="BL115" i="3"/>
  <c r="BN63" i="3"/>
  <c r="BL75" i="3"/>
  <c r="BL66" i="3"/>
  <c r="BM10" i="3"/>
  <c r="BN22" i="3"/>
  <c r="BK19" i="3"/>
  <c r="BK181" i="3"/>
  <c r="BK94" i="3"/>
  <c r="BK85" i="3"/>
  <c r="BK73" i="3"/>
  <c r="BK72" i="3"/>
  <c r="BK98" i="3"/>
  <c r="BK67" i="3"/>
  <c r="BK81" i="3"/>
  <c r="BK200" i="3"/>
  <c r="BA137" i="3"/>
  <c r="BA159" i="3" s="1"/>
  <c r="BA113" i="3"/>
  <c r="BA116" i="3"/>
  <c r="BA140" i="3"/>
  <c r="BA162" i="3" s="1"/>
  <c r="BC26" i="3"/>
  <c r="BC51" i="3" s="1"/>
  <c r="AZ128" i="3"/>
  <c r="AZ150" i="3" s="1"/>
  <c r="BA128" i="3" s="1"/>
  <c r="BA150" i="3" s="1"/>
  <c r="AZ104" i="3"/>
  <c r="BI6" i="3"/>
  <c r="BI5" i="3" s="1"/>
  <c r="BH5" i="3"/>
  <c r="BH9" i="3" s="1"/>
  <c r="BH19" i="3" s="1"/>
  <c r="BA118" i="3"/>
  <c r="AT168" i="3"/>
  <c r="AU127" i="3"/>
  <c r="AU149" i="3" s="1"/>
  <c r="AZ130" i="3"/>
  <c r="AZ152" i="3" s="1"/>
  <c r="BA130" i="3" s="1"/>
  <c r="BA152" i="3" s="1"/>
  <c r="AZ106" i="3"/>
  <c r="AZ133" i="3"/>
  <c r="AZ155" i="3" s="1"/>
  <c r="BA133" i="3" s="1"/>
  <c r="BA155" i="3" s="1"/>
  <c r="AZ109" i="3"/>
  <c r="BA136" i="3"/>
  <c r="BA158" i="3" s="1"/>
  <c r="BA112" i="3"/>
  <c r="BA109" i="3"/>
  <c r="AS224" i="3"/>
  <c r="AS208" i="3"/>
  <c r="AS209" i="3" s="1"/>
  <c r="AS211" i="3" s="1"/>
  <c r="AZ134" i="3"/>
  <c r="AZ156" i="3" s="1"/>
  <c r="BA134" i="3" s="1"/>
  <c r="BA156" i="3" s="1"/>
  <c r="AZ110" i="3"/>
  <c r="BA110" i="3"/>
  <c r="AZ63" i="3"/>
  <c r="AZ139" i="3"/>
  <c r="AZ161" i="3" s="1"/>
  <c r="BA139" i="3" s="1"/>
  <c r="BA161" i="3" s="1"/>
  <c r="AZ115" i="3"/>
  <c r="BA131" i="3"/>
  <c r="BA153" i="3" s="1"/>
  <c r="BA107" i="3"/>
  <c r="BA115" i="3"/>
  <c r="AZ142" i="3"/>
  <c r="AZ164" i="3" s="1"/>
  <c r="BA142" i="3" s="1"/>
  <c r="BA164" i="3" s="1"/>
  <c r="AZ118" i="3"/>
  <c r="BA204" i="3"/>
  <c r="BA75" i="3"/>
  <c r="AZ204" i="3"/>
  <c r="AZ75" i="3"/>
  <c r="AZ144" i="3"/>
  <c r="AZ166" i="3" s="1"/>
  <c r="BA144" i="3" s="1"/>
  <c r="BA166" i="3" s="1"/>
  <c r="AZ120" i="3"/>
  <c r="BB51" i="3"/>
  <c r="BA62" i="3"/>
  <c r="BA120" i="3"/>
  <c r="BA200" i="3"/>
  <c r="BN62" i="3" l="1"/>
  <c r="BM62" i="3"/>
  <c r="BD37" i="3"/>
  <c r="BI9" i="3"/>
  <c r="BK5" i="3"/>
  <c r="AZ199" i="3"/>
  <c r="AZ186" i="3"/>
  <c r="AZ185" i="3"/>
  <c r="AZ62" i="3"/>
  <c r="AE177" i="3"/>
  <c r="AU168" i="3"/>
  <c r="AV127" i="3"/>
  <c r="AV149" i="3" s="1"/>
  <c r="BG10" i="3"/>
  <c r="BF14" i="3"/>
  <c r="AT224" i="3"/>
  <c r="AT208" i="3"/>
  <c r="AT209" i="3" s="1"/>
  <c r="AT211" i="3" s="1"/>
  <c r="BC188" i="3"/>
  <c r="BC184" i="3"/>
  <c r="BC183" i="3"/>
  <c r="BC198" i="3"/>
  <c r="BC181" i="3"/>
  <c r="BC182" i="3"/>
  <c r="BC98" i="3"/>
  <c r="BC93" i="3"/>
  <c r="BC88" i="3"/>
  <c r="BC96" i="3"/>
  <c r="BC91" i="3"/>
  <c r="BC90" i="3"/>
  <c r="BC85" i="3"/>
  <c r="BC73" i="3"/>
  <c r="BC207" i="3" s="1"/>
  <c r="BC60" i="3"/>
  <c r="BC72" i="3"/>
  <c r="BC206" i="3" s="1"/>
  <c r="BC84" i="3"/>
  <c r="BC94" i="3"/>
  <c r="BC82" i="3"/>
  <c r="BC81" i="3"/>
  <c r="BC56" i="3"/>
  <c r="BC59" i="3"/>
  <c r="BC55" i="3"/>
  <c r="BC87" i="3"/>
  <c r="BC67" i="3"/>
  <c r="BC58" i="3"/>
  <c r="BO5" i="3"/>
  <c r="BE57" i="3"/>
  <c r="BE24" i="3"/>
  <c r="BE33" i="3"/>
  <c r="BE22" i="3"/>
  <c r="BE29" i="3"/>
  <c r="BE31" i="3"/>
  <c r="BE35" i="3"/>
  <c r="BA122" i="3"/>
  <c r="BA235" i="3" s="1"/>
  <c r="AE219" i="3"/>
  <c r="AE220" i="3" s="1"/>
  <c r="BB198" i="3"/>
  <c r="BB188" i="3"/>
  <c r="BB184" i="3"/>
  <c r="BB183" i="3"/>
  <c r="BB182" i="3"/>
  <c r="BB181" i="3"/>
  <c r="BB84" i="3"/>
  <c r="BB98" i="3"/>
  <c r="BB93" i="3"/>
  <c r="BB88" i="3"/>
  <c r="BB87" i="3"/>
  <c r="BB96" i="3"/>
  <c r="BB91" i="3"/>
  <c r="BB85" i="3"/>
  <c r="BB67" i="3"/>
  <c r="BB90" i="3"/>
  <c r="BB73" i="3"/>
  <c r="BB60" i="3"/>
  <c r="BB72" i="3"/>
  <c r="BB82" i="3"/>
  <c r="BB81" i="3"/>
  <c r="BB56" i="3"/>
  <c r="BB94" i="3"/>
  <c r="BB59" i="3"/>
  <c r="BB58" i="3"/>
  <c r="BB55" i="3"/>
  <c r="BO9" i="3"/>
  <c r="BD26" i="3"/>
  <c r="BD51" i="3" s="1"/>
  <c r="AZ122" i="3"/>
  <c r="BC63" i="3" l="1"/>
  <c r="BC62" i="3" s="1"/>
  <c r="BB207" i="3"/>
  <c r="AE187" i="3"/>
  <c r="AF172" i="3"/>
  <c r="BB140" i="3"/>
  <c r="BB116" i="3"/>
  <c r="BB136" i="3"/>
  <c r="BB112" i="3"/>
  <c r="BB144" i="3"/>
  <c r="BB120" i="3"/>
  <c r="BC107" i="3"/>
  <c r="BH10" i="3"/>
  <c r="BG14" i="3"/>
  <c r="BB63" i="3"/>
  <c r="BB204" i="3"/>
  <c r="BB75" i="3"/>
  <c r="BB130" i="3"/>
  <c r="BB106" i="3"/>
  <c r="BC103" i="3"/>
  <c r="BB131" i="3"/>
  <c r="BB107" i="3"/>
  <c r="BE37" i="3"/>
  <c r="BC104" i="3"/>
  <c r="BC113" i="3"/>
  <c r="BC112" i="3"/>
  <c r="BB103" i="3"/>
  <c r="BB137" i="3"/>
  <c r="BB113" i="3"/>
  <c r="BE26" i="3"/>
  <c r="BE51" i="3" s="1"/>
  <c r="BC204" i="3"/>
  <c r="BC75" i="3"/>
  <c r="BC116" i="3"/>
  <c r="BC118" i="3"/>
  <c r="BC106" i="3"/>
  <c r="AZ235" i="3"/>
  <c r="BB206" i="3"/>
  <c r="BB133" i="3"/>
  <c r="BB109" i="3"/>
  <c r="BC115" i="3"/>
  <c r="AV168" i="3"/>
  <c r="AW127" i="3"/>
  <c r="BI19" i="3"/>
  <c r="BK9" i="3"/>
  <c r="BB115" i="3"/>
  <c r="BB139" i="3"/>
  <c r="BC199" i="3"/>
  <c r="BC200" i="3" s="1"/>
  <c r="BC186" i="3"/>
  <c r="BC185" i="3"/>
  <c r="BF29" i="3"/>
  <c r="BF37" i="3" s="1"/>
  <c r="BF31" i="3"/>
  <c r="BF33" i="3"/>
  <c r="BF57" i="3"/>
  <c r="BF22" i="3"/>
  <c r="BF35" i="3"/>
  <c r="BF24" i="3"/>
  <c r="AZ200" i="3"/>
  <c r="BB128" i="3"/>
  <c r="BB104" i="3"/>
  <c r="BB142" i="3"/>
  <c r="BB118" i="3"/>
  <c r="BC109" i="3"/>
  <c r="BC110" i="3"/>
  <c r="BD188" i="3"/>
  <c r="BD184" i="3"/>
  <c r="BD183" i="3"/>
  <c r="BD198" i="3"/>
  <c r="BD181" i="3"/>
  <c r="BD182" i="3"/>
  <c r="BD87" i="3"/>
  <c r="BD96" i="3"/>
  <c r="BD91" i="3"/>
  <c r="BD90" i="3"/>
  <c r="BD85" i="3"/>
  <c r="BD94" i="3"/>
  <c r="BD72" i="3"/>
  <c r="BD206" i="3" s="1"/>
  <c r="BD59" i="3"/>
  <c r="BD98" i="3"/>
  <c r="BD84" i="3"/>
  <c r="BD88" i="3"/>
  <c r="BD82" i="3"/>
  <c r="BD81" i="3"/>
  <c r="BD93" i="3"/>
  <c r="BD73" i="3"/>
  <c r="BD207" i="3" s="1"/>
  <c r="BD60" i="3"/>
  <c r="BD55" i="3"/>
  <c r="BD58" i="3"/>
  <c r="BD67" i="3"/>
  <c r="BD56" i="3"/>
  <c r="BB110" i="3"/>
  <c r="BB134" i="3"/>
  <c r="AE223" i="3"/>
  <c r="BC120" i="3"/>
  <c r="AU224" i="3"/>
  <c r="AU208" i="3"/>
  <c r="BD106" i="3" l="1"/>
  <c r="BB185" i="3"/>
  <c r="BB199" i="3"/>
  <c r="BB186" i="3"/>
  <c r="BB62" i="3"/>
  <c r="AF175" i="3"/>
  <c r="AF174" i="3"/>
  <c r="AF173" i="3"/>
  <c r="BD118" i="3"/>
  <c r="BD120" i="3"/>
  <c r="BD109" i="3"/>
  <c r="BB150" i="3"/>
  <c r="BE183" i="3"/>
  <c r="BE198" i="3"/>
  <c r="BE188" i="3"/>
  <c r="BE184" i="3"/>
  <c r="BE182" i="3"/>
  <c r="BE181" i="3"/>
  <c r="BE87" i="3"/>
  <c r="BE82" i="3"/>
  <c r="BE96" i="3"/>
  <c r="BE91" i="3"/>
  <c r="BE90" i="3"/>
  <c r="BE85" i="3"/>
  <c r="BE94" i="3"/>
  <c r="BE84" i="3"/>
  <c r="BE72" i="3"/>
  <c r="BE206" i="3" s="1"/>
  <c r="BE59" i="3"/>
  <c r="BE98" i="3"/>
  <c r="BE88" i="3"/>
  <c r="BE81" i="3"/>
  <c r="BE67" i="3"/>
  <c r="BE55" i="3"/>
  <c r="BE58" i="3"/>
  <c r="BE56" i="3"/>
  <c r="BE73" i="3"/>
  <c r="BE207" i="3" s="1"/>
  <c r="BE93" i="3"/>
  <c r="BE60" i="3"/>
  <c r="BG57" i="3"/>
  <c r="BG22" i="3"/>
  <c r="BG26" i="3" s="1"/>
  <c r="BG35" i="3"/>
  <c r="BG24" i="3"/>
  <c r="BG31" i="3"/>
  <c r="BG29" i="3"/>
  <c r="BG33" i="3"/>
  <c r="BB166" i="3"/>
  <c r="AE190" i="3"/>
  <c r="BB158" i="3"/>
  <c r="BD107" i="3"/>
  <c r="AW149" i="3"/>
  <c r="BN127" i="3"/>
  <c r="BB159" i="3"/>
  <c r="BB153" i="3"/>
  <c r="BO19" i="3"/>
  <c r="BH14" i="3"/>
  <c r="BI10" i="3"/>
  <c r="BB152" i="3"/>
  <c r="BD116" i="3"/>
  <c r="BD63" i="3"/>
  <c r="BD104" i="3"/>
  <c r="BD112" i="3"/>
  <c r="BB164" i="3"/>
  <c r="BF26" i="3"/>
  <c r="AV224" i="3"/>
  <c r="AV208" i="3"/>
  <c r="AV209" i="3" s="1"/>
  <c r="AV211" i="3" s="1"/>
  <c r="BC122" i="3"/>
  <c r="BC235" i="3" s="1"/>
  <c r="BD115" i="3"/>
  <c r="BD103" i="3"/>
  <c r="AU209" i="3"/>
  <c r="BB156" i="3"/>
  <c r="BD204" i="3"/>
  <c r="BD75" i="3"/>
  <c r="BD110" i="3"/>
  <c r="BD113" i="3"/>
  <c r="BB161" i="3"/>
  <c r="BB155" i="3"/>
  <c r="BB122" i="3"/>
  <c r="BB162" i="3"/>
  <c r="BE204" i="3" l="1"/>
  <c r="BE75" i="3"/>
  <c r="BE116" i="3"/>
  <c r="BC139" i="3"/>
  <c r="BD199" i="3"/>
  <c r="BD200" i="3" s="1"/>
  <c r="BD186" i="3"/>
  <c r="BD185" i="3"/>
  <c r="BD62" i="3"/>
  <c r="BI14" i="3"/>
  <c r="BO10" i="3"/>
  <c r="BC144" i="3"/>
  <c r="BE107" i="3"/>
  <c r="BE103" i="3"/>
  <c r="BG37" i="3"/>
  <c r="BE110" i="3"/>
  <c r="BE113" i="3"/>
  <c r="BE120" i="3"/>
  <c r="BE118" i="3"/>
  <c r="BC131" i="3"/>
  <c r="BH57" i="3"/>
  <c r="BH31" i="3"/>
  <c r="BH33" i="3"/>
  <c r="BH35" i="3"/>
  <c r="BH24" i="3"/>
  <c r="BH22" i="3"/>
  <c r="BH29" i="3"/>
  <c r="BC136" i="3"/>
  <c r="BE115" i="3"/>
  <c r="BB235" i="3"/>
  <c r="AU211" i="3"/>
  <c r="BC142" i="3"/>
  <c r="BD122" i="3"/>
  <c r="BD235" i="3" s="1"/>
  <c r="BC130" i="3"/>
  <c r="AW168" i="3"/>
  <c r="AX127" i="3"/>
  <c r="BN149" i="3"/>
  <c r="BE63" i="3"/>
  <c r="BE104" i="3"/>
  <c r="BC140" i="3"/>
  <c r="AF214" i="3"/>
  <c r="BE109" i="3"/>
  <c r="BC134" i="3"/>
  <c r="BF51" i="3"/>
  <c r="BC137" i="3"/>
  <c r="BE112" i="3"/>
  <c r="BC133" i="3"/>
  <c r="AE192" i="3"/>
  <c r="BG51" i="3"/>
  <c r="BE106" i="3"/>
  <c r="BC128" i="3"/>
  <c r="AF177" i="3"/>
  <c r="BB200" i="3"/>
  <c r="BH26" i="3" l="1"/>
  <c r="BC158" i="3"/>
  <c r="BH37" i="3"/>
  <c r="BC153" i="3"/>
  <c r="BC152" i="3"/>
  <c r="BH51" i="3"/>
  <c r="BC162" i="3"/>
  <c r="BC166" i="3"/>
  <c r="BC159" i="3"/>
  <c r="AW224" i="3"/>
  <c r="AW208" i="3"/>
  <c r="AF187" i="3"/>
  <c r="AG172" i="3"/>
  <c r="BC150" i="3"/>
  <c r="BE122" i="3"/>
  <c r="BI57" i="3"/>
  <c r="BI33" i="3"/>
  <c r="BI29" i="3"/>
  <c r="BI35" i="3"/>
  <c r="BI22" i="3"/>
  <c r="BI31" i="3"/>
  <c r="BI24" i="3"/>
  <c r="BO14" i="3"/>
  <c r="BC161" i="3"/>
  <c r="AX149" i="3"/>
  <c r="BG198" i="3"/>
  <c r="BG183" i="3"/>
  <c r="BG182" i="3"/>
  <c r="BG188" i="3"/>
  <c r="BG181" i="3"/>
  <c r="BG184" i="3"/>
  <c r="BG90" i="3"/>
  <c r="BG85" i="3"/>
  <c r="BG94" i="3"/>
  <c r="BG84" i="3"/>
  <c r="BG98" i="3"/>
  <c r="BG93" i="3"/>
  <c r="BG88" i="3"/>
  <c r="BG91" i="3"/>
  <c r="BG58" i="3"/>
  <c r="BG81" i="3"/>
  <c r="BG96" i="3"/>
  <c r="BG82" i="3"/>
  <c r="BG67" i="3"/>
  <c r="BG87" i="3"/>
  <c r="BG73" i="3"/>
  <c r="BG207" i="3" s="1"/>
  <c r="BG72" i="3"/>
  <c r="BG206" i="3" s="1"/>
  <c r="BG56" i="3"/>
  <c r="BG60" i="3"/>
  <c r="BG59" i="3"/>
  <c r="BG55" i="3"/>
  <c r="BC155" i="3"/>
  <c r="BF198" i="3"/>
  <c r="BF183" i="3"/>
  <c r="BF188" i="3"/>
  <c r="BF184" i="3"/>
  <c r="BF182" i="3"/>
  <c r="BF181" i="3"/>
  <c r="BF96" i="3"/>
  <c r="BF91" i="3"/>
  <c r="BF90" i="3"/>
  <c r="BF94" i="3"/>
  <c r="BF98" i="3"/>
  <c r="BF93" i="3"/>
  <c r="BF88" i="3"/>
  <c r="BF84" i="3"/>
  <c r="BF58" i="3"/>
  <c r="BF81" i="3"/>
  <c r="BF82" i="3"/>
  <c r="BF67" i="3"/>
  <c r="BF87" i="3"/>
  <c r="BF73" i="3"/>
  <c r="BF59" i="3"/>
  <c r="BF72" i="3"/>
  <c r="BF85" i="3"/>
  <c r="BF56" i="3"/>
  <c r="BF60" i="3"/>
  <c r="BF55" i="3"/>
  <c r="BC156" i="3"/>
  <c r="AF216" i="3"/>
  <c r="BE199" i="3"/>
  <c r="BE186" i="3"/>
  <c r="BE185" i="3"/>
  <c r="BE62" i="3"/>
  <c r="BC164" i="3"/>
  <c r="BE200" i="3" l="1"/>
  <c r="BF63" i="3"/>
  <c r="BF112" i="3"/>
  <c r="BG113" i="3"/>
  <c r="BK33" i="3"/>
  <c r="BO33" i="3"/>
  <c r="AW209" i="3"/>
  <c r="BN208" i="3"/>
  <c r="BF107" i="3"/>
  <c r="BF103" i="3"/>
  <c r="BF113" i="3"/>
  <c r="BG110" i="3"/>
  <c r="BD139" i="3"/>
  <c r="BK57" i="3"/>
  <c r="BO57" i="3"/>
  <c r="BD140" i="3"/>
  <c r="BF106" i="3"/>
  <c r="BG204" i="3"/>
  <c r="BG75" i="3"/>
  <c r="BE235" i="3"/>
  <c r="BD137" i="3"/>
  <c r="BD133" i="3"/>
  <c r="BG120" i="3"/>
  <c r="BK24" i="3"/>
  <c r="BO24" i="3"/>
  <c r="BF207" i="3"/>
  <c r="BF110" i="3"/>
  <c r="BG104" i="3"/>
  <c r="BG106" i="3"/>
  <c r="BK31" i="3"/>
  <c r="BO31" i="3"/>
  <c r="BH198" i="3"/>
  <c r="BH188" i="3"/>
  <c r="BH184" i="3"/>
  <c r="BH183" i="3"/>
  <c r="BH182" i="3"/>
  <c r="BH181" i="3"/>
  <c r="BH90" i="3"/>
  <c r="BH85" i="3"/>
  <c r="BH94" i="3"/>
  <c r="BH98" i="3"/>
  <c r="BH93" i="3"/>
  <c r="BH88" i="3"/>
  <c r="BH87" i="3"/>
  <c r="BH82" i="3"/>
  <c r="BH84" i="3"/>
  <c r="BH81" i="3"/>
  <c r="BH96" i="3"/>
  <c r="BH67" i="3"/>
  <c r="BH73" i="3"/>
  <c r="BH207" i="3" s="1"/>
  <c r="BH72" i="3"/>
  <c r="BH206" i="3" s="1"/>
  <c r="BH58" i="3"/>
  <c r="BH60" i="3"/>
  <c r="BH91" i="3"/>
  <c r="BH55" i="3"/>
  <c r="BH59" i="3"/>
  <c r="BH56" i="3"/>
  <c r="AF218" i="3"/>
  <c r="BF206" i="3"/>
  <c r="BG109" i="3"/>
  <c r="BG115" i="3"/>
  <c r="BD131" i="3"/>
  <c r="BD142" i="3"/>
  <c r="BF109" i="3"/>
  <c r="BG118" i="3"/>
  <c r="BG116" i="3"/>
  <c r="BI26" i="3"/>
  <c r="BK22" i="3"/>
  <c r="BO22" i="3"/>
  <c r="BD128" i="3"/>
  <c r="BD144" i="3"/>
  <c r="BF204" i="3"/>
  <c r="BF75" i="3"/>
  <c r="BG103" i="3"/>
  <c r="BK35" i="3"/>
  <c r="BO35" i="3"/>
  <c r="AG174" i="3"/>
  <c r="AG173" i="3"/>
  <c r="AG177" i="3"/>
  <c r="AG175" i="3"/>
  <c r="BD130" i="3"/>
  <c r="BF118" i="3"/>
  <c r="BD134" i="3"/>
  <c r="BF115" i="3"/>
  <c r="BF120" i="3"/>
  <c r="BG107" i="3"/>
  <c r="BF104" i="3"/>
  <c r="BF116" i="3"/>
  <c r="BG63" i="3"/>
  <c r="BG112" i="3"/>
  <c r="AX168" i="3"/>
  <c r="AY127" i="3"/>
  <c r="BI37" i="3"/>
  <c r="BK29" i="3"/>
  <c r="BO29" i="3"/>
  <c r="AF190" i="3"/>
  <c r="BD136" i="3"/>
  <c r="BH106" i="3" l="1"/>
  <c r="BH104" i="3"/>
  <c r="BD159" i="3"/>
  <c r="BE137" i="3" s="1"/>
  <c r="BE159" i="3" s="1"/>
  <c r="BF137" i="3" s="1"/>
  <c r="BF159" i="3" s="1"/>
  <c r="BG137" i="3" s="1"/>
  <c r="BG159" i="3" s="1"/>
  <c r="BH137" i="3" s="1"/>
  <c r="BH159" i="3" s="1"/>
  <c r="BD162" i="3"/>
  <c r="BE140" i="3" s="1"/>
  <c r="BE162" i="3" s="1"/>
  <c r="BF140" i="3" s="1"/>
  <c r="BF162" i="3" s="1"/>
  <c r="BG140" i="3" s="1"/>
  <c r="BG162" i="3" s="1"/>
  <c r="BH140" i="3" s="1"/>
  <c r="BH162" i="3" s="1"/>
  <c r="BK37" i="3"/>
  <c r="BO37" i="3"/>
  <c r="BD166" i="3"/>
  <c r="BG122" i="3"/>
  <c r="BG235" i="3" s="1"/>
  <c r="BH109" i="3"/>
  <c r="AW211" i="3"/>
  <c r="BN209" i="3"/>
  <c r="AY149" i="3"/>
  <c r="BD152" i="3"/>
  <c r="BD150" i="3"/>
  <c r="BD153" i="3"/>
  <c r="AF219" i="3"/>
  <c r="BH110" i="3"/>
  <c r="BD164" i="3"/>
  <c r="BH112" i="3"/>
  <c r="BD158" i="3"/>
  <c r="BE136" i="3" s="1"/>
  <c r="BE158" i="3" s="1"/>
  <c r="BF136" i="3" s="1"/>
  <c r="BF158" i="3" s="1"/>
  <c r="BG136" i="3" s="1"/>
  <c r="BG158" i="3" s="1"/>
  <c r="BH136" i="3" s="1"/>
  <c r="BH158" i="3" s="1"/>
  <c r="AX224" i="3"/>
  <c r="AX208" i="3"/>
  <c r="AG214" i="3"/>
  <c r="BH63" i="3"/>
  <c r="BH204" i="3"/>
  <c r="BH75" i="3"/>
  <c r="BH115" i="3"/>
  <c r="BF122" i="3"/>
  <c r="BF199" i="3"/>
  <c r="BF186" i="3"/>
  <c r="BF185" i="3"/>
  <c r="BF62" i="3"/>
  <c r="AG187" i="3"/>
  <c r="AH172" i="3"/>
  <c r="BH118" i="3"/>
  <c r="BH120" i="3"/>
  <c r="BD161" i="3"/>
  <c r="AF192" i="3"/>
  <c r="BD156" i="3"/>
  <c r="BE134" i="3" s="1"/>
  <c r="BE156" i="3" s="1"/>
  <c r="BF134" i="3" s="1"/>
  <c r="BF156" i="3" s="1"/>
  <c r="BG134" i="3" s="1"/>
  <c r="BG156" i="3" s="1"/>
  <c r="BH134" i="3" s="1"/>
  <c r="BH156" i="3" s="1"/>
  <c r="BK26" i="3"/>
  <c r="BI51" i="3"/>
  <c r="BO26" i="3"/>
  <c r="BH116" i="3"/>
  <c r="BG199" i="3"/>
  <c r="BG200" i="3" s="1"/>
  <c r="BG186" i="3"/>
  <c r="BG185" i="3"/>
  <c r="BG62" i="3"/>
  <c r="BH113" i="3"/>
  <c r="BH103" i="3"/>
  <c r="BH107" i="3"/>
  <c r="BD155" i="3"/>
  <c r="BE130" i="3" l="1"/>
  <c r="BE152" i="3" s="1"/>
  <c r="BF130" i="3" s="1"/>
  <c r="BF152" i="3" s="1"/>
  <c r="BG130" i="3" s="1"/>
  <c r="BG152" i="3" s="1"/>
  <c r="BH130" i="3" s="1"/>
  <c r="BH152" i="3" s="1"/>
  <c r="BE144" i="3"/>
  <c r="BE166" i="3" s="1"/>
  <c r="BF144" i="3" s="1"/>
  <c r="BF166" i="3" s="1"/>
  <c r="BG144" i="3" s="1"/>
  <c r="BG166" i="3" s="1"/>
  <c r="BH144" i="3" s="1"/>
  <c r="BH166" i="3" s="1"/>
  <c r="BF200" i="3"/>
  <c r="BH199" i="3"/>
  <c r="BH200" i="3" s="1"/>
  <c r="BH186" i="3"/>
  <c r="BH185" i="3"/>
  <c r="BH62" i="3"/>
  <c r="AF220" i="3"/>
  <c r="AY168" i="3"/>
  <c r="AZ127" i="3"/>
  <c r="AH174" i="3"/>
  <c r="AH173" i="3"/>
  <c r="AH175" i="3"/>
  <c r="BE133" i="3"/>
  <c r="BE155" i="3" s="1"/>
  <c r="BF133" i="3" s="1"/>
  <c r="BF155" i="3" s="1"/>
  <c r="BG133" i="3" s="1"/>
  <c r="BG155" i="3" s="1"/>
  <c r="BH133" i="3" s="1"/>
  <c r="BH155" i="3" s="1"/>
  <c r="AG190" i="3"/>
  <c r="AG216" i="3"/>
  <c r="BE131" i="3"/>
  <c r="BE153" i="3" s="1"/>
  <c r="BF131" i="3" s="1"/>
  <c r="BF153" i="3" s="1"/>
  <c r="BG131" i="3" s="1"/>
  <c r="BG153" i="3" s="1"/>
  <c r="BH131" i="3" s="1"/>
  <c r="BH153" i="3" s="1"/>
  <c r="BN211" i="3"/>
  <c r="BE139" i="3"/>
  <c r="BE161" i="3" s="1"/>
  <c r="BF139" i="3" s="1"/>
  <c r="BF161" i="3" s="1"/>
  <c r="BG139" i="3" s="1"/>
  <c r="BG161" i="3" s="1"/>
  <c r="BH139" i="3" s="1"/>
  <c r="BH161" i="3" s="1"/>
  <c r="BF235" i="3"/>
  <c r="BE142" i="3"/>
  <c r="BE164" i="3" s="1"/>
  <c r="BF142" i="3" s="1"/>
  <c r="BF164" i="3" s="1"/>
  <c r="BG142" i="3" s="1"/>
  <c r="BG164" i="3" s="1"/>
  <c r="BH142" i="3" s="1"/>
  <c r="BH164" i="3" s="1"/>
  <c r="AX209" i="3"/>
  <c r="BE128" i="3"/>
  <c r="BE150" i="3" s="1"/>
  <c r="BF128" i="3" s="1"/>
  <c r="BF150" i="3" s="1"/>
  <c r="BG128" i="3" s="1"/>
  <c r="BG150" i="3" s="1"/>
  <c r="BH128" i="3" s="1"/>
  <c r="BH150" i="3" s="1"/>
  <c r="BI198" i="3"/>
  <c r="BI188" i="3"/>
  <c r="BI184" i="3"/>
  <c r="BI182" i="3"/>
  <c r="BI181" i="3"/>
  <c r="BI183" i="3"/>
  <c r="BI94" i="3"/>
  <c r="BI84" i="3"/>
  <c r="BI98" i="3"/>
  <c r="BI93" i="3"/>
  <c r="BI88" i="3"/>
  <c r="BI87" i="3"/>
  <c r="BI96" i="3"/>
  <c r="BI91" i="3"/>
  <c r="BI90" i="3"/>
  <c r="BI81" i="3"/>
  <c r="BI67" i="3"/>
  <c r="BI82" i="3"/>
  <c r="BI73" i="3"/>
  <c r="BI72" i="3"/>
  <c r="BI56" i="3"/>
  <c r="BI85" i="3"/>
  <c r="BI55" i="3"/>
  <c r="BI59" i="3"/>
  <c r="BI58" i="3"/>
  <c r="BI60" i="3"/>
  <c r="BK51" i="3"/>
  <c r="BO51" i="3"/>
  <c r="BH122" i="3"/>
  <c r="BH235" i="3" s="1"/>
  <c r="AH177" i="3" l="1"/>
  <c r="AH187" i="3"/>
  <c r="AI172" i="3"/>
  <c r="BI103" i="3"/>
  <c r="BO81" i="3"/>
  <c r="BI112" i="3"/>
  <c r="BI136" i="3"/>
  <c r="BK90" i="3"/>
  <c r="BO90" i="3"/>
  <c r="BI63" i="3"/>
  <c r="BK56" i="3"/>
  <c r="BO56" i="3"/>
  <c r="BI137" i="3"/>
  <c r="BI113" i="3"/>
  <c r="BK91" i="3"/>
  <c r="BO91" i="3"/>
  <c r="BK183" i="3"/>
  <c r="BO183" i="3"/>
  <c r="AG192" i="3"/>
  <c r="AZ149" i="3"/>
  <c r="BI206" i="3"/>
  <c r="BO72" i="3"/>
  <c r="BI142" i="3"/>
  <c r="BI118" i="3"/>
  <c r="BK96" i="3"/>
  <c r="BO96" i="3"/>
  <c r="BO181" i="3"/>
  <c r="AX211" i="3"/>
  <c r="AY224" i="3"/>
  <c r="AY208" i="3"/>
  <c r="BK55" i="3"/>
  <c r="BO55" i="3"/>
  <c r="AF223" i="3"/>
  <c r="BI207" i="3"/>
  <c r="BO73" i="3"/>
  <c r="AH214" i="3"/>
  <c r="BI131" i="3"/>
  <c r="BI107" i="3"/>
  <c r="BO85" i="3"/>
  <c r="BI116" i="3"/>
  <c r="BI140" i="3"/>
  <c r="BO94" i="3"/>
  <c r="BI109" i="3"/>
  <c r="BI133" i="3"/>
  <c r="BK87" i="3"/>
  <c r="BO87" i="3"/>
  <c r="BK182" i="3"/>
  <c r="BO182" i="3"/>
  <c r="BK60" i="3"/>
  <c r="BO60" i="3"/>
  <c r="BI104" i="3"/>
  <c r="BI128" i="3"/>
  <c r="BK82" i="3"/>
  <c r="BO82" i="3"/>
  <c r="BI134" i="3"/>
  <c r="BI110" i="3"/>
  <c r="BK88" i="3"/>
  <c r="BO88" i="3"/>
  <c r="BK184" i="3"/>
  <c r="BO184" i="3"/>
  <c r="BK58" i="3"/>
  <c r="BO58" i="3"/>
  <c r="BI204" i="3"/>
  <c r="BI75" i="3"/>
  <c r="BO67" i="3"/>
  <c r="BI115" i="3"/>
  <c r="BI139" i="3"/>
  <c r="BK93" i="3"/>
  <c r="BO93" i="3"/>
  <c r="BK188" i="3"/>
  <c r="BO188" i="3"/>
  <c r="BK59" i="3"/>
  <c r="BO59" i="3"/>
  <c r="BI144" i="3"/>
  <c r="BI120" i="3"/>
  <c r="BO98" i="3"/>
  <c r="BK198" i="3"/>
  <c r="BO198" i="3"/>
  <c r="BI130" i="3"/>
  <c r="BI106" i="3"/>
  <c r="BK84" i="3"/>
  <c r="BO84" i="3"/>
  <c r="AG218" i="3"/>
  <c r="BI153" i="3" l="1"/>
  <c r="BK131" i="3"/>
  <c r="BO131" i="3"/>
  <c r="AG219" i="3"/>
  <c r="AG220" i="3" s="1"/>
  <c r="BK120" i="3"/>
  <c r="BO120" i="3"/>
  <c r="BI161" i="3"/>
  <c r="BK139" i="3"/>
  <c r="BO139" i="3"/>
  <c r="BI150" i="3"/>
  <c r="BK128" i="3"/>
  <c r="BO128" i="3"/>
  <c r="BI155" i="3"/>
  <c r="BK133" i="3"/>
  <c r="BO133" i="3"/>
  <c r="BI158" i="3"/>
  <c r="BK136" i="3"/>
  <c r="BO136" i="3"/>
  <c r="AY209" i="3"/>
  <c r="BK118" i="3"/>
  <c r="BO118" i="3"/>
  <c r="AZ168" i="3"/>
  <c r="BA127" i="3"/>
  <c r="BI159" i="3"/>
  <c r="BK137" i="3"/>
  <c r="BO137" i="3"/>
  <c r="BK112" i="3"/>
  <c r="BO112" i="3"/>
  <c r="BK106" i="3"/>
  <c r="BO106" i="3"/>
  <c r="BI152" i="3"/>
  <c r="BK130" i="3"/>
  <c r="BO130" i="3"/>
  <c r="BI162" i="3"/>
  <c r="BK140" i="3"/>
  <c r="BO140" i="3"/>
  <c r="BK207" i="3"/>
  <c r="BO207" i="3"/>
  <c r="BI164" i="3"/>
  <c r="BK142" i="3"/>
  <c r="BO142" i="3"/>
  <c r="BI122" i="3"/>
  <c r="BK103" i="3"/>
  <c r="BO103" i="3"/>
  <c r="BK104" i="3"/>
  <c r="BO104" i="3"/>
  <c r="BK109" i="3"/>
  <c r="BO109" i="3"/>
  <c r="AH216" i="3"/>
  <c r="BK113" i="3"/>
  <c r="BO113" i="3"/>
  <c r="BK204" i="3"/>
  <c r="BO204" i="3"/>
  <c r="BK110" i="3"/>
  <c r="BO110" i="3"/>
  <c r="BK116" i="3"/>
  <c r="BO116" i="3"/>
  <c r="BI166" i="3"/>
  <c r="BK144" i="3"/>
  <c r="BO144" i="3"/>
  <c r="BI156" i="3"/>
  <c r="BK134" i="3"/>
  <c r="BO134" i="3"/>
  <c r="BK206" i="3"/>
  <c r="BO206" i="3"/>
  <c r="BI199" i="3"/>
  <c r="BI185" i="3"/>
  <c r="BI186" i="3"/>
  <c r="BK63" i="3"/>
  <c r="BK62" i="3" s="1"/>
  <c r="BO63" i="3"/>
  <c r="BO62" i="3" s="1"/>
  <c r="BI62" i="3"/>
  <c r="AI173" i="3"/>
  <c r="AI177" i="3" s="1"/>
  <c r="AI174" i="3"/>
  <c r="AI175" i="3"/>
  <c r="BK115" i="3"/>
  <c r="BO115" i="3"/>
  <c r="BK107" i="3"/>
  <c r="BO107" i="3"/>
  <c r="AH190" i="3"/>
  <c r="AJ172" i="3" l="1"/>
  <c r="AI187" i="3"/>
  <c r="AI190" i="3" s="1"/>
  <c r="AI192" i="3" s="1"/>
  <c r="AG223" i="3"/>
  <c r="BK155" i="3"/>
  <c r="BO155" i="3"/>
  <c r="BK166" i="3"/>
  <c r="BO166" i="3"/>
  <c r="BI235" i="3"/>
  <c r="BK122" i="3"/>
  <c r="F12" i="4" s="1"/>
  <c r="BO122" i="3"/>
  <c r="J12" i="4" s="1"/>
  <c r="BK162" i="3"/>
  <c r="BO162" i="3"/>
  <c r="AH218" i="3"/>
  <c r="AY211" i="3"/>
  <c r="BK186" i="3"/>
  <c r="BO186" i="3"/>
  <c r="BK159" i="3"/>
  <c r="BO159" i="3"/>
  <c r="BK150" i="3"/>
  <c r="BO150" i="3"/>
  <c r="AH192" i="3"/>
  <c r="AI214" i="3"/>
  <c r="BK185" i="3"/>
  <c r="BO185" i="3"/>
  <c r="BK156" i="3"/>
  <c r="BO156" i="3"/>
  <c r="BK164" i="3"/>
  <c r="BO164" i="3"/>
  <c r="BK152" i="3"/>
  <c r="BO152" i="3"/>
  <c r="BK199" i="3"/>
  <c r="BO199" i="3"/>
  <c r="BI200" i="3"/>
  <c r="BA149" i="3"/>
  <c r="BK158" i="3"/>
  <c r="BO158" i="3"/>
  <c r="AZ224" i="3"/>
  <c r="AZ208" i="3"/>
  <c r="BK161" i="3"/>
  <c r="BO161" i="3"/>
  <c r="BK153" i="3"/>
  <c r="BO153" i="3"/>
  <c r="BA168" i="3" l="1"/>
  <c r="BB127" i="3"/>
  <c r="BB149" i="3" s="1"/>
  <c r="AH219" i="3"/>
  <c r="AH220" i="3" s="1"/>
  <c r="AZ209" i="3"/>
  <c r="AI216" i="3"/>
  <c r="BO200" i="3"/>
  <c r="AJ173" i="3"/>
  <c r="AJ177" i="3"/>
  <c r="AJ175" i="3"/>
  <c r="AJ214" i="3" s="1"/>
  <c r="AJ216" i="3" s="1"/>
  <c r="AJ218" i="3" s="1"/>
  <c r="AJ174" i="3"/>
  <c r="AH223" i="3" l="1"/>
  <c r="AJ187" i="3"/>
  <c r="AJ190" i="3" s="1"/>
  <c r="AJ192" i="3" s="1"/>
  <c r="AK172" i="3"/>
  <c r="AZ211" i="3"/>
  <c r="BB168" i="3"/>
  <c r="BC127" i="3"/>
  <c r="BC149" i="3" s="1"/>
  <c r="AI218" i="3"/>
  <c r="AJ219" i="3"/>
  <c r="AJ220" i="3" s="1"/>
  <c r="AJ223" i="3" s="1"/>
  <c r="BA224" i="3"/>
  <c r="BA208" i="3"/>
  <c r="BB224" i="3" l="1"/>
  <c r="BB208" i="3"/>
  <c r="BB209" i="3" s="1"/>
  <c r="BB211" i="3" s="1"/>
  <c r="AK175" i="3"/>
  <c r="AK214" i="3" s="1"/>
  <c r="AK216" i="3" s="1"/>
  <c r="AK218" i="3" s="1"/>
  <c r="AK173" i="3"/>
  <c r="AK174" i="3"/>
  <c r="AK177" i="3" s="1"/>
  <c r="BA209" i="3"/>
  <c r="BC168" i="3"/>
  <c r="BD127" i="3"/>
  <c r="BD149" i="3" s="1"/>
  <c r="AI219" i="3"/>
  <c r="AI220" i="3"/>
  <c r="AI223" i="3" s="1"/>
  <c r="BM218" i="3"/>
  <c r="AL172" i="3" l="1"/>
  <c r="AK187" i="3"/>
  <c r="AK190" i="3" s="1"/>
  <c r="AK192" i="3" s="1"/>
  <c r="BM177" i="3"/>
  <c r="BD168" i="3"/>
  <c r="BE127" i="3"/>
  <c r="BE149" i="3" s="1"/>
  <c r="BC224" i="3"/>
  <c r="BC208" i="3"/>
  <c r="BC209" i="3" s="1"/>
  <c r="BC211" i="3" s="1"/>
  <c r="AK219" i="3"/>
  <c r="AK220" i="3" s="1"/>
  <c r="AK223" i="3" s="1"/>
  <c r="BA211" i="3"/>
  <c r="BE168" i="3" l="1"/>
  <c r="BF127" i="3"/>
  <c r="BF149" i="3" s="1"/>
  <c r="BD224" i="3"/>
  <c r="BD208" i="3"/>
  <c r="BD209" i="3" s="1"/>
  <c r="BD211" i="3" s="1"/>
  <c r="AL175" i="3"/>
  <c r="AL174" i="3"/>
  <c r="AL173" i="3"/>
  <c r="AL177" i="3" s="1"/>
  <c r="BN172" i="3"/>
  <c r="AL187" i="3" l="1"/>
  <c r="AM172" i="3"/>
  <c r="AL214" i="3"/>
  <c r="BF168" i="3"/>
  <c r="BG127" i="3"/>
  <c r="BG149" i="3" s="1"/>
  <c r="BE224" i="3"/>
  <c r="BE208" i="3"/>
  <c r="BE209" i="3" s="1"/>
  <c r="BE211" i="3" s="1"/>
  <c r="BG168" i="3" l="1"/>
  <c r="BH127" i="3"/>
  <c r="BH149" i="3" s="1"/>
  <c r="BF224" i="3"/>
  <c r="BF208" i="3"/>
  <c r="BF209" i="3" s="1"/>
  <c r="BF211" i="3" s="1"/>
  <c r="AL216" i="3"/>
  <c r="AM175" i="3"/>
  <c r="AM174" i="3"/>
  <c r="AM177" i="3"/>
  <c r="AM173" i="3"/>
  <c r="AL190" i="3"/>
  <c r="AL218" i="3" l="1"/>
  <c r="AM214" i="3"/>
  <c r="AL192" i="3"/>
  <c r="AM187" i="3"/>
  <c r="AN172" i="3"/>
  <c r="BH168" i="3"/>
  <c r="BI127" i="3"/>
  <c r="BG224" i="3"/>
  <c r="BG208" i="3"/>
  <c r="BG209" i="3" s="1"/>
  <c r="BG211" i="3" s="1"/>
  <c r="AM216" i="3" l="1"/>
  <c r="BI149" i="3"/>
  <c r="BK127" i="3"/>
  <c r="BO127" i="3"/>
  <c r="BH224" i="3"/>
  <c r="BH208" i="3"/>
  <c r="BH209" i="3" s="1"/>
  <c r="BH211" i="3" s="1"/>
  <c r="AN175" i="3"/>
  <c r="AN174" i="3"/>
  <c r="AN177" i="3" s="1"/>
  <c r="AN173" i="3"/>
  <c r="AM190" i="3"/>
  <c r="AL219" i="3"/>
  <c r="AN187" i="3" l="1"/>
  <c r="AO172" i="3"/>
  <c r="AL220" i="3"/>
  <c r="AM192" i="3"/>
  <c r="BI168" i="3"/>
  <c r="BK149" i="3"/>
  <c r="BO149" i="3"/>
  <c r="AN214" i="3"/>
  <c r="AM218" i="3"/>
  <c r="AM219" i="3" l="1"/>
  <c r="AM220" i="3"/>
  <c r="AM223" i="3" s="1"/>
  <c r="AL223" i="3"/>
  <c r="AO174" i="3"/>
  <c r="AO173" i="3"/>
  <c r="AO177" i="3"/>
  <c r="AO175" i="3"/>
  <c r="BI224" i="3"/>
  <c r="BI208" i="3"/>
  <c r="BK168" i="3"/>
  <c r="F11" i="4" s="1"/>
  <c r="BN168" i="3"/>
  <c r="I11" i="4" s="1"/>
  <c r="BO168" i="3"/>
  <c r="J11" i="4" s="1"/>
  <c r="AN216" i="3"/>
  <c r="AN190" i="3"/>
  <c r="AO187" i="3" l="1"/>
  <c r="AP172" i="3"/>
  <c r="AN218" i="3"/>
  <c r="BK208" i="3"/>
  <c r="BI209" i="3"/>
  <c r="BO208" i="3"/>
  <c r="AN192" i="3"/>
  <c r="AO214" i="3"/>
  <c r="BK209" i="3" l="1"/>
  <c r="BI211" i="3"/>
  <c r="BO209" i="3"/>
  <c r="AN219" i="3"/>
  <c r="AN220" i="3" s="1"/>
  <c r="AO216" i="3"/>
  <c r="AP174" i="3"/>
  <c r="AP173" i="3"/>
  <c r="AP175" i="3"/>
  <c r="AP214" i="3" s="1"/>
  <c r="AP216" i="3" s="1"/>
  <c r="AP218" i="3" s="1"/>
  <c r="AO190" i="3"/>
  <c r="AP177" i="3" l="1"/>
  <c r="AP187" i="3"/>
  <c r="AP190" i="3" s="1"/>
  <c r="AP192" i="3" s="1"/>
  <c r="AQ172" i="3"/>
  <c r="AN223" i="3"/>
  <c r="AO218" i="3"/>
  <c r="AP219" i="3"/>
  <c r="AP220" i="3"/>
  <c r="AP223" i="3" s="1"/>
  <c r="AO192" i="3"/>
  <c r="BK211" i="3"/>
  <c r="BO211" i="3"/>
  <c r="AO219" i="3" l="1"/>
  <c r="AO220" i="3" s="1"/>
  <c r="AQ173" i="3"/>
  <c r="AQ177" i="3" s="1"/>
  <c r="AQ175" i="3"/>
  <c r="AQ214" i="3" s="1"/>
  <c r="AQ216" i="3" s="1"/>
  <c r="AQ218" i="3" s="1"/>
  <c r="AQ174" i="3"/>
  <c r="AR172" i="3" l="1"/>
  <c r="AQ187" i="3"/>
  <c r="AQ190" i="3" s="1"/>
  <c r="AQ192" i="3" s="1"/>
  <c r="AO223" i="3"/>
  <c r="AQ219" i="3"/>
  <c r="AQ220" i="3" s="1"/>
  <c r="AQ223" i="3" l="1"/>
  <c r="AR173" i="3"/>
  <c r="AR175" i="3"/>
  <c r="AR214" i="3" s="1"/>
  <c r="AR216" i="3" s="1"/>
  <c r="AR218" i="3" s="1"/>
  <c r="AR174" i="3"/>
  <c r="AR177" i="3" l="1"/>
  <c r="AR187" i="3"/>
  <c r="AR190" i="3" s="1"/>
  <c r="AR192" i="3" s="1"/>
  <c r="AS172" i="3"/>
  <c r="AR219" i="3"/>
  <c r="AR220" i="3" s="1"/>
  <c r="AR223" i="3" s="1"/>
  <c r="AS175" i="3" l="1"/>
  <c r="AS214" i="3" s="1"/>
  <c r="AS216" i="3" s="1"/>
  <c r="AS218" i="3" s="1"/>
  <c r="AS174" i="3"/>
  <c r="AS173" i="3"/>
  <c r="AS177" i="3" s="1"/>
  <c r="AT172" i="3" l="1"/>
  <c r="AS187" i="3"/>
  <c r="AS190" i="3" s="1"/>
  <c r="AS192" i="3" s="1"/>
  <c r="AS219" i="3"/>
  <c r="AS220" i="3" s="1"/>
  <c r="AS223" i="3" s="1"/>
  <c r="AT175" i="3" l="1"/>
  <c r="AT214" i="3" s="1"/>
  <c r="AT216" i="3" s="1"/>
  <c r="AT218" i="3" s="1"/>
  <c r="AT174" i="3"/>
  <c r="AT177" i="3" s="1"/>
  <c r="AT173" i="3"/>
  <c r="AT187" i="3" l="1"/>
  <c r="AT190" i="3" s="1"/>
  <c r="AT192" i="3" s="1"/>
  <c r="AU172" i="3"/>
  <c r="AT219" i="3"/>
  <c r="AT220" i="3" s="1"/>
  <c r="AT223" i="3" s="1"/>
  <c r="AU175" i="3" l="1"/>
  <c r="AU214" i="3" s="1"/>
  <c r="AU216" i="3" s="1"/>
  <c r="AU218" i="3" s="1"/>
  <c r="AU174" i="3"/>
  <c r="AU173" i="3"/>
  <c r="AU177" i="3" s="1"/>
  <c r="AU187" i="3" l="1"/>
  <c r="AU190" i="3" s="1"/>
  <c r="AU192" i="3" s="1"/>
  <c r="AV172" i="3"/>
  <c r="AU219" i="3"/>
  <c r="AU220" i="3" s="1"/>
  <c r="AU223" i="3" s="1"/>
  <c r="AV175" i="3" l="1"/>
  <c r="AV214" i="3" s="1"/>
  <c r="AV216" i="3" s="1"/>
  <c r="AV218" i="3" s="1"/>
  <c r="AV174" i="3"/>
  <c r="AV173" i="3"/>
  <c r="AV177" i="3"/>
  <c r="AV187" i="3" l="1"/>
  <c r="AV190" i="3" s="1"/>
  <c r="AV192" i="3" s="1"/>
  <c r="AW172" i="3"/>
  <c r="AV219" i="3"/>
  <c r="AV220" i="3" s="1"/>
  <c r="AV223" i="3" s="1"/>
  <c r="AW174" i="3" l="1"/>
  <c r="AW173" i="3"/>
  <c r="AW177" i="3"/>
  <c r="AW175" i="3"/>
  <c r="AW214" i="3" s="1"/>
  <c r="AW216" i="3" s="1"/>
  <c r="AW218" i="3" s="1"/>
  <c r="AW219" i="3" l="1"/>
  <c r="AW220" i="3" s="1"/>
  <c r="AW223" i="3" s="1"/>
  <c r="AW187" i="3"/>
  <c r="AW190" i="3" s="1"/>
  <c r="AW192" i="3" s="1"/>
  <c r="AX172" i="3"/>
  <c r="BN177" i="3"/>
  <c r="AX174" i="3" l="1"/>
  <c r="AX173" i="3"/>
  <c r="AX177" i="3" s="1"/>
  <c r="AX175" i="3"/>
  <c r="BO172" i="3"/>
  <c r="AX187" i="3" l="1"/>
  <c r="AY172" i="3"/>
  <c r="AX214" i="3"/>
  <c r="AX216" i="3" l="1"/>
  <c r="AY173" i="3"/>
  <c r="AY175" i="3"/>
  <c r="AY174" i="3"/>
  <c r="AX190" i="3"/>
  <c r="AY177" i="3" l="1"/>
  <c r="AZ172" i="3"/>
  <c r="AY187" i="3"/>
  <c r="AX192" i="3"/>
  <c r="AY214" i="3"/>
  <c r="AX218" i="3"/>
  <c r="AY216" i="3" l="1"/>
  <c r="AX219" i="3"/>
  <c r="AX220" i="3"/>
  <c r="AY190" i="3"/>
  <c r="AZ173" i="3"/>
  <c r="AZ175" i="3"/>
  <c r="AZ174" i="3"/>
  <c r="AZ177" i="3" l="1"/>
  <c r="AZ187" i="3"/>
  <c r="BA172" i="3"/>
  <c r="AY192" i="3"/>
  <c r="AX223" i="3"/>
  <c r="AZ214" i="3"/>
  <c r="AY218" i="3"/>
  <c r="AZ216" i="3" l="1"/>
  <c r="AY219" i="3"/>
  <c r="BA175" i="3"/>
  <c r="BA174" i="3"/>
  <c r="BA173" i="3"/>
  <c r="AZ190" i="3"/>
  <c r="BA177" i="3" l="1"/>
  <c r="BB172" i="3"/>
  <c r="BA187" i="3"/>
  <c r="BA214" i="3"/>
  <c r="AY220" i="3"/>
  <c r="AZ192" i="3"/>
  <c r="AZ218" i="3"/>
  <c r="AY223" i="3" l="1"/>
  <c r="BA216" i="3"/>
  <c r="BA190" i="3"/>
  <c r="AZ219" i="3"/>
  <c r="AZ220" i="3" s="1"/>
  <c r="AZ223" i="3" s="1"/>
  <c r="BB175" i="3"/>
  <c r="BB214" i="3" s="1"/>
  <c r="BB216" i="3" s="1"/>
  <c r="BB218" i="3" s="1"/>
  <c r="BB174" i="3"/>
  <c r="BB173" i="3"/>
  <c r="BB177" i="3" s="1"/>
  <c r="BA192" i="3" l="1"/>
  <c r="BB187" i="3"/>
  <c r="BB190" i="3" s="1"/>
  <c r="BB192" i="3" s="1"/>
  <c r="BC172" i="3"/>
  <c r="BA218" i="3"/>
  <c r="BB219" i="3"/>
  <c r="BB220" i="3" s="1"/>
  <c r="BB223" i="3" s="1"/>
  <c r="BC175" i="3" l="1"/>
  <c r="BC214" i="3" s="1"/>
  <c r="BC216" i="3" s="1"/>
  <c r="BC218" i="3" s="1"/>
  <c r="BC174" i="3"/>
  <c r="BC173" i="3"/>
  <c r="BC177" i="3" s="1"/>
  <c r="BA219" i="3"/>
  <c r="BA220" i="3" s="1"/>
  <c r="BA223" i="3" l="1"/>
  <c r="BC187" i="3"/>
  <c r="BC190" i="3" s="1"/>
  <c r="BC192" i="3" s="1"/>
  <c r="BD172" i="3"/>
  <c r="BC219" i="3"/>
  <c r="BC220" i="3" s="1"/>
  <c r="BC223" i="3" l="1"/>
  <c r="BD175" i="3"/>
  <c r="BD214" i="3" s="1"/>
  <c r="BD216" i="3" s="1"/>
  <c r="BD218" i="3" s="1"/>
  <c r="BD174" i="3"/>
  <c r="BD173" i="3"/>
  <c r="BD177" i="3"/>
  <c r="BD187" i="3" l="1"/>
  <c r="BD190" i="3" s="1"/>
  <c r="BD192" i="3" s="1"/>
  <c r="BE172" i="3"/>
  <c r="BD219" i="3"/>
  <c r="BD220" i="3" s="1"/>
  <c r="BD223" i="3" s="1"/>
  <c r="BE174" i="3" l="1"/>
  <c r="BE173" i="3"/>
  <c r="BE177" i="3" s="1"/>
  <c r="BE175" i="3"/>
  <c r="BE214" i="3" s="1"/>
  <c r="BE216" i="3" s="1"/>
  <c r="BE218" i="3" s="1"/>
  <c r="BE187" i="3" l="1"/>
  <c r="BE190" i="3" s="1"/>
  <c r="BE192" i="3" s="1"/>
  <c r="BF172" i="3"/>
  <c r="BE219" i="3"/>
  <c r="BE220" i="3" s="1"/>
  <c r="BE223" i="3" s="1"/>
  <c r="BF174" i="3" l="1"/>
  <c r="BF173" i="3"/>
  <c r="BF175" i="3"/>
  <c r="BF214" i="3" s="1"/>
  <c r="BF216" i="3" s="1"/>
  <c r="BF218" i="3" s="1"/>
  <c r="BF177" i="3" l="1"/>
  <c r="BF187" i="3"/>
  <c r="BF190" i="3" s="1"/>
  <c r="BF192" i="3" s="1"/>
  <c r="BG172" i="3"/>
  <c r="BF219" i="3"/>
  <c r="BF220" i="3"/>
  <c r="BF223" i="3" s="1"/>
  <c r="BG173" i="3" l="1"/>
  <c r="BG175" i="3"/>
  <c r="BG214" i="3" s="1"/>
  <c r="BG216" i="3" s="1"/>
  <c r="BG218" i="3" s="1"/>
  <c r="BG174" i="3"/>
  <c r="BG177" i="3" s="1"/>
  <c r="BG187" i="3" l="1"/>
  <c r="BG190" i="3" s="1"/>
  <c r="BG192" i="3" s="1"/>
  <c r="BH172" i="3"/>
  <c r="BG219" i="3"/>
  <c r="BG220" i="3" s="1"/>
  <c r="BG223" i="3" s="1"/>
  <c r="BH173" i="3" l="1"/>
  <c r="BH175" i="3"/>
  <c r="BH214" i="3" s="1"/>
  <c r="BH216" i="3" s="1"/>
  <c r="BH218" i="3" s="1"/>
  <c r="BH174" i="3"/>
  <c r="BH177" i="3" s="1"/>
  <c r="BH187" i="3" l="1"/>
  <c r="BH190" i="3" s="1"/>
  <c r="BH192" i="3" s="1"/>
  <c r="BI172" i="3"/>
  <c r="BH219" i="3"/>
  <c r="BH220" i="3"/>
  <c r="BH223" i="3" s="1"/>
  <c r="BI175" i="3" l="1"/>
  <c r="BI174" i="3"/>
  <c r="BI173" i="3"/>
  <c r="BK174" i="3" l="1"/>
  <c r="BM174" i="3"/>
  <c r="BN174" i="3"/>
  <c r="BO174" i="3"/>
  <c r="BK173" i="3"/>
  <c r="BM173" i="3"/>
  <c r="BN173" i="3"/>
  <c r="BO173" i="3"/>
  <c r="BI214" i="3"/>
  <c r="BK175" i="3"/>
  <c r="BM175" i="3"/>
  <c r="BN175" i="3"/>
  <c r="BO175" i="3"/>
  <c r="BI177" i="3"/>
  <c r="BI187" i="3" l="1"/>
  <c r="BO177" i="3"/>
  <c r="BI216" i="3"/>
  <c r="BK214" i="3"/>
  <c r="F23" i="4" s="1"/>
  <c r="BM214" i="3"/>
  <c r="H23" i="4" s="1"/>
  <c r="BN214" i="3"/>
  <c r="I23" i="4" s="1"/>
  <c r="BO214" i="3"/>
  <c r="J23" i="4" s="1"/>
  <c r="BK216" i="3" l="1"/>
  <c r="BM216" i="3"/>
  <c r="BI218" i="3"/>
  <c r="BN216" i="3"/>
  <c r="BO216" i="3"/>
  <c r="BK187" i="3"/>
  <c r="BM187" i="3"/>
  <c r="BI190" i="3"/>
  <c r="BN187" i="3"/>
  <c r="BO187" i="3"/>
  <c r="BI219" i="3" l="1"/>
  <c r="BK218" i="3"/>
  <c r="BN218" i="3"/>
  <c r="BO218" i="3"/>
  <c r="BI192" i="3"/>
  <c r="BK190" i="3"/>
  <c r="BM190" i="3"/>
  <c r="BM192" i="3" s="1"/>
  <c r="H13" i="4" s="1"/>
  <c r="BN190" i="3"/>
  <c r="BO190" i="3"/>
  <c r="BO192" i="3" l="1"/>
  <c r="J13" i="4" s="1"/>
  <c r="BK192" i="3"/>
  <c r="F13" i="4" s="1"/>
  <c r="BL192" i="3"/>
  <c r="G13" i="4" s="1"/>
  <c r="G15" i="4" s="1"/>
  <c r="BK219" i="3"/>
  <c r="BM219" i="3"/>
  <c r="BN219" i="3"/>
  <c r="BO219" i="3"/>
  <c r="BN192" i="3"/>
  <c r="I13" i="4" s="1"/>
  <c r="BI220" i="3"/>
  <c r="BI223" i="3" l="1"/>
  <c r="BK220" i="3"/>
  <c r="F10" i="4" s="1"/>
  <c r="F15" i="4" s="1"/>
  <c r="BM220" i="3"/>
  <c r="H10" i="4" s="1"/>
  <c r="H15" i="4" s="1"/>
  <c r="BN220" i="3"/>
  <c r="I10" i="4" s="1"/>
  <c r="I15" i="4" s="1"/>
  <c r="BO220" i="3"/>
  <c r="J10" i="4" s="1"/>
  <c r="J15" i="4" s="1"/>
  <c r="G25" i="4"/>
  <c r="G27" i="4" s="1"/>
  <c r="G17" i="4"/>
  <c r="J16" i="4" l="1"/>
  <c r="J17" i="4"/>
  <c r="J25" i="4"/>
  <c r="I17" i="4"/>
  <c r="I25" i="4"/>
  <c r="I27" i="4" s="1"/>
  <c r="F17" i="4"/>
  <c r="E18" i="4" s="1" a="1"/>
  <c r="E18" i="4" s="1"/>
  <c r="F25" i="4"/>
  <c r="F27" i="4" s="1"/>
  <c r="H25" i="4"/>
  <c r="H27" i="4" s="1"/>
  <c r="H17" i="4"/>
  <c r="E20" i="4" l="1"/>
  <c r="I39" i="4"/>
  <c r="J26" i="4"/>
  <c r="J27" i="4" s="1"/>
  <c r="E28" i="4" s="1" a="1"/>
  <c r="E28" i="4" s="1"/>
  <c r="E30" i="4" s="1"/>
  <c r="E32" i="4" s="1"/>
</calcChain>
</file>

<file path=xl/sharedStrings.xml><?xml version="1.0" encoding="utf-8"?>
<sst xmlns="http://schemas.openxmlformats.org/spreadsheetml/2006/main" count="1157" uniqueCount="356">
  <si>
    <t>Semantic Web for Valuation</t>
  </si>
  <si>
    <t>Deliverable 1:  Approximation Valuation Model for Mobile Apps</t>
  </si>
  <si>
    <t>BY</t>
  </si>
  <si>
    <t>Chen Li, Prachi Mishra, Yilin Xie</t>
  </si>
  <si>
    <t>Assumption Table</t>
  </si>
  <si>
    <t>KPIs Assumptions</t>
  </si>
  <si>
    <t>Organic Downloads</t>
  </si>
  <si>
    <t>Mean</t>
  </si>
  <si>
    <t>Stdev</t>
  </si>
  <si>
    <t>Growth rate</t>
  </si>
  <si>
    <t>Paid Downloads*via marketing</t>
  </si>
  <si>
    <t xml:space="preserve"> </t>
  </si>
  <si>
    <t>Retention Rate</t>
  </si>
  <si>
    <t>Revenue Assumptions</t>
  </si>
  <si>
    <t>1.Licensing</t>
  </si>
  <si>
    <t>Price of the App</t>
  </si>
  <si>
    <t>2.Subscription</t>
  </si>
  <si>
    <t>average revenue per user per month</t>
  </si>
  <si>
    <t>Conversion Rate(Mean)</t>
  </si>
  <si>
    <t>Conversion Rate(Stdev)</t>
  </si>
  <si>
    <t>Monthly plan</t>
  </si>
  <si>
    <t>Annual plan</t>
  </si>
  <si>
    <t>No plan</t>
  </si>
  <si>
    <t>3. In-app purchase</t>
  </si>
  <si>
    <t>Price</t>
  </si>
  <si>
    <t>Average repeated times</t>
  </si>
  <si>
    <t>item 1 -  Pricing</t>
  </si>
  <si>
    <t>item 2 -  Pricing</t>
  </si>
  <si>
    <t xml:space="preserve">item 3 -  Pricing </t>
  </si>
  <si>
    <t>item 4 -  Pricing</t>
  </si>
  <si>
    <t>4. Advertisement</t>
  </si>
  <si>
    <t>Impressions</t>
  </si>
  <si>
    <t>Conversion rate (Mean)</t>
  </si>
  <si>
    <t>Conversion rate (Std Dev)</t>
  </si>
  <si>
    <t>Click-Through Rate (CTR)</t>
  </si>
  <si>
    <t>Revenue/Cost per Click (CPC)</t>
  </si>
  <si>
    <t>5. Commission</t>
  </si>
  <si>
    <t>Transactions</t>
  </si>
  <si>
    <t># of transactions</t>
  </si>
  <si>
    <t>average revenue per transaction</t>
  </si>
  <si>
    <t>commision rate</t>
  </si>
  <si>
    <t>Marketplace/platform Commissions</t>
  </si>
  <si>
    <t>based on industry average</t>
  </si>
  <si>
    <t>Costs of Goods Sold Assumption</t>
  </si>
  <si>
    <t>(% of Revenue)</t>
  </si>
  <si>
    <t>Hosting and Infrastructure</t>
  </si>
  <si>
    <t>Development and Maintenance</t>
  </si>
  <si>
    <t>Customer Support</t>
  </si>
  <si>
    <t>active users per support agent</t>
  </si>
  <si>
    <t>average compensation per agent per month</t>
  </si>
  <si>
    <t>Content Licensing</t>
  </si>
  <si>
    <t>Platform fees</t>
  </si>
  <si>
    <t>Payment Processing Fees</t>
  </si>
  <si>
    <t>% of transactions</t>
  </si>
  <si>
    <t>% of revenue</t>
  </si>
  <si>
    <t>Credit Card</t>
  </si>
  <si>
    <t>PayPal</t>
  </si>
  <si>
    <t>Square</t>
  </si>
  <si>
    <t>Stripe</t>
  </si>
  <si>
    <t>Total</t>
  </si>
  <si>
    <t>Expenses Assumption</t>
  </si>
  <si>
    <t>Research &amp; Development expense</t>
  </si>
  <si>
    <t>recurring monthly expense</t>
  </si>
  <si>
    <t>General &amp; Admin expense</t>
  </si>
  <si>
    <t>as % of revenue</t>
  </si>
  <si>
    <t>Office Space</t>
  </si>
  <si>
    <t>monthly recurring expense</t>
  </si>
  <si>
    <t>Annual Growth Rate</t>
  </si>
  <si>
    <t>inflation</t>
  </si>
  <si>
    <t>Sales &amp; Marketing</t>
  </si>
  <si>
    <t>Fixed</t>
  </si>
  <si>
    <t xml:space="preserve">Estimated as industry average </t>
  </si>
  <si>
    <t>Variable(Cost per download)</t>
  </si>
  <si>
    <t>Technology and Infrastructure</t>
  </si>
  <si>
    <t>Other Operating Expenses</t>
  </si>
  <si>
    <t>Capital Expenditure &amp; Depreciation Assumptions</t>
  </si>
  <si>
    <t>Assumed Depreciation Method:</t>
  </si>
  <si>
    <t>Straight-line</t>
  </si>
  <si>
    <t>Assets</t>
  </si>
  <si>
    <t>Useful life(in months)</t>
  </si>
  <si>
    <t>CapEx</t>
  </si>
  <si>
    <t>Technology Infrastructure</t>
  </si>
  <si>
    <t>Servers and Data Centers</t>
  </si>
  <si>
    <t>as % of Revenue</t>
  </si>
  <si>
    <t>Networking Equipment</t>
  </si>
  <si>
    <t>Software and Licenses</t>
  </si>
  <si>
    <t>Enterprise Software</t>
  </si>
  <si>
    <t>Software Licenses</t>
  </si>
  <si>
    <t>Hardware</t>
  </si>
  <si>
    <t>Computers and Workstations</t>
  </si>
  <si>
    <t>Storage Devices</t>
  </si>
  <si>
    <t>Development Costs</t>
  </si>
  <si>
    <t>Product Development</t>
  </si>
  <si>
    <t>Research and Development</t>
  </si>
  <si>
    <t>Intellectual Property</t>
  </si>
  <si>
    <t>Patents and Trademarks</t>
  </si>
  <si>
    <t>Proprietary Technology</t>
  </si>
  <si>
    <t>Cloud Services</t>
  </si>
  <si>
    <t>Long-term Cloud Contracts</t>
  </si>
  <si>
    <t>Security</t>
  </si>
  <si>
    <t>Cybersecurity Infrastructure</t>
  </si>
  <si>
    <t>Long Term Debt Assumptions</t>
  </si>
  <si>
    <t xml:space="preserve">Value	</t>
  </si>
  <si>
    <t>Notes</t>
  </si>
  <si>
    <t>Beginning Debt Level as (2023) in $</t>
  </si>
  <si>
    <t>Estimated starting debt for the company</t>
  </si>
  <si>
    <t xml:space="preserve">Long Term Lease, Level </t>
  </si>
  <si>
    <t>Estimated long-term lease obligations</t>
  </si>
  <si>
    <t>Monthly</t>
  </si>
  <si>
    <t>Long Term Debt Growth Rate</t>
  </si>
  <si>
    <t>Expected annual growth in debt</t>
  </si>
  <si>
    <t>Interest rate on long term debt</t>
  </si>
  <si>
    <t>Based on current market rates</t>
  </si>
  <si>
    <t>Long Term Debt Repayment During forecast period</t>
  </si>
  <si>
    <t>Scheduled debt repayment</t>
  </si>
  <si>
    <t>Tax rate assumed in this model</t>
  </si>
  <si>
    <t>Estimated effective tax rate</t>
  </si>
  <si>
    <t>Dividend Payout Ratio</t>
  </si>
  <si>
    <t>Estimated average based on past years</t>
  </si>
  <si>
    <t>Working Capital Assumptions</t>
  </si>
  <si>
    <t>Value</t>
  </si>
  <si>
    <t>Cash and ST Investments</t>
  </si>
  <si>
    <t>As a % of revenue</t>
  </si>
  <si>
    <t>Accounts receivable</t>
  </si>
  <si>
    <t>Inventories</t>
  </si>
  <si>
    <t>Other Current Assets</t>
  </si>
  <si>
    <t>Accounts payable</t>
  </si>
  <si>
    <t>As a % of COGS</t>
  </si>
  <si>
    <t>Accrued Expenses</t>
  </si>
  <si>
    <t>Current Portion LT Debt</t>
  </si>
  <si>
    <t>As a % of total debt</t>
  </si>
  <si>
    <t>Other Current Liabilities</t>
  </si>
  <si>
    <t>As a % of total liabilities</t>
  </si>
  <si>
    <t>Cost of Capital Assumptions</t>
  </si>
  <si>
    <t>Equity beta</t>
  </si>
  <si>
    <t>Market Risk Premuim</t>
  </si>
  <si>
    <t>Risk free rate</t>
  </si>
  <si>
    <t>Cost of Equity</t>
  </si>
  <si>
    <t>Weighted Cost of debt</t>
  </si>
  <si>
    <t>Capital Structure</t>
  </si>
  <si>
    <t>Market Value of Equity</t>
  </si>
  <si>
    <t>Market Value of Debt</t>
  </si>
  <si>
    <t>Value of Firm</t>
  </si>
  <si>
    <t>E/V</t>
  </si>
  <si>
    <t>D/V</t>
  </si>
  <si>
    <t>WACC</t>
  </si>
  <si>
    <t xml:space="preserve">Sustainable Growth Rate Assumptions </t>
  </si>
  <si>
    <t>Base Case Terminal Growth Rate</t>
  </si>
  <si>
    <t xml:space="preserve"> (about 2% GDP growth rate and 2% Inflation assumption)</t>
  </si>
  <si>
    <t>Total number of Shares Outstanding</t>
  </si>
  <si>
    <t>Projection Model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</si>
  <si>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</si>
  <si>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</si>
  <si>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</si>
  <si>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</si>
  <si>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</si>
  <si>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</si>
  <si>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</si>
  <si>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</si>
  <si>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</si>
  <si>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</si>
  <si>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</si>
  <si>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</si>
  <si>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</si>
  <si>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</si>
  <si>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</si>
  <si>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</si>
  <si>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</si>
  <si>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</si>
  <si>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</si>
  <si>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</si>
  <si>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</si>
  <si>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</si>
  <si>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</si>
  <si>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</si>
  <si>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</si>
  <si>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</si>
  <si>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</si>
  <si>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</si>
  <si>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</si>
  <si>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</si>
  <si>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</si>
  <si>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</si>
  <si>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</si>
  <si>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</si>
  <si>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</si>
  <si>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</si>
  <si>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</si>
  <si>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</si>
  <si>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</si>
  <si>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</si>
  <si>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</si>
  <si>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</si>
  <si>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</si>
  <si>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</si>
  <si>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</si>
  <si>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</si>
  <si>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</si>
  <si>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</si>
  <si>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</si>
  <si>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</si>
  <si>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</si>
  <si>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</si>
  <si>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</si>
  <si>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</si>
  <si>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</si>
  <si>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</si>
  <si>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</si>
  <si>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</si>
  <si>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</si>
  <si>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</si>
  <si>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KPIs Schedule</t>
  </si>
  <si>
    <t xml:space="preserve">    Mean</t>
  </si>
  <si>
    <t>Paid Downloads</t>
  </si>
  <si>
    <t>Total New Downloads</t>
  </si>
  <si>
    <t>Cumulative Downloads</t>
  </si>
  <si>
    <t>Retention rate</t>
  </si>
  <si>
    <t>Churn rate</t>
  </si>
  <si>
    <t>Active Users</t>
  </si>
  <si>
    <t>Revenue Schedule</t>
  </si>
  <si>
    <t>Revenue from Licensing</t>
  </si>
  <si>
    <t>Monthly Plan</t>
  </si>
  <si>
    <t>Conversion Rate</t>
  </si>
  <si>
    <t>Annual Plan</t>
  </si>
  <si>
    <t>Total revenue from Subscription</t>
  </si>
  <si>
    <t>item 1</t>
  </si>
  <si>
    <t>item 2</t>
  </si>
  <si>
    <t>item 3</t>
  </si>
  <si>
    <t>item 4</t>
  </si>
  <si>
    <t>Total revenue from In app Purchase</t>
  </si>
  <si>
    <t>CTR</t>
  </si>
  <si>
    <t>CPC</t>
  </si>
  <si>
    <t>Total Revenue from Advertisement</t>
  </si>
  <si>
    <t># of Transactions</t>
  </si>
  <si>
    <t>Total Revenue from Commission</t>
  </si>
  <si>
    <t>Total Revenue</t>
  </si>
  <si>
    <t>Cost of Goods Sold Schedule</t>
  </si>
  <si>
    <t>Payment Processing</t>
  </si>
  <si>
    <t>Platform Fees</t>
  </si>
  <si>
    <t>Gross Margin Rate</t>
  </si>
  <si>
    <t>Total COGS</t>
  </si>
  <si>
    <t>Consolidated Operating Expenses Schedule</t>
  </si>
  <si>
    <t>Research &amp; Development expense per month</t>
  </si>
  <si>
    <t>Research &amp; Development expense per year</t>
  </si>
  <si>
    <t xml:space="preserve">      Fixed Cost</t>
  </si>
  <si>
    <t xml:space="preserve">      Variable Cost</t>
  </si>
  <si>
    <t>Total Monthly Expenses</t>
  </si>
  <si>
    <t>Capital Expenditure Projection</t>
  </si>
  <si>
    <t>Increment</t>
  </si>
  <si>
    <t>Total Capital Expenditure</t>
  </si>
  <si>
    <t>Depreciable Asset Schedule ( Existing and New)</t>
  </si>
  <si>
    <t>Depreciation Schedule</t>
  </si>
  <si>
    <t>Total Depreciation</t>
  </si>
  <si>
    <t>Debt and Interest Expense Schedule</t>
  </si>
  <si>
    <t>Opening Debt Balance</t>
  </si>
  <si>
    <t>Debt Issued</t>
  </si>
  <si>
    <t>Debt Repaid</t>
  </si>
  <si>
    <t>Interest Expense</t>
  </si>
  <si>
    <t>Closing Debt Balance/Total Debt</t>
  </si>
  <si>
    <t>Working Capital Schedule</t>
  </si>
  <si>
    <t>Accounts Receivable: Revenue</t>
  </si>
  <si>
    <t>Accounts Payable</t>
  </si>
  <si>
    <t>Working Capital</t>
  </si>
  <si>
    <t>Change of Working Capital</t>
  </si>
  <si>
    <t>Income Statement</t>
  </si>
  <si>
    <t>Revenue</t>
  </si>
  <si>
    <t>Cost of Goods Sold</t>
  </si>
  <si>
    <t>Gross Margin</t>
  </si>
  <si>
    <t>Operating expenses</t>
  </si>
  <si>
    <t xml:space="preserve">    Research &amp; Development expense</t>
  </si>
  <si>
    <t xml:space="preserve">    General &amp; Admin expense</t>
  </si>
  <si>
    <t xml:space="preserve">    Sales &amp; Marketing</t>
  </si>
  <si>
    <t xml:space="preserve">    Technology and Infrastructure</t>
  </si>
  <si>
    <t xml:space="preserve">    Other Operating Expenses</t>
  </si>
  <si>
    <t xml:space="preserve">    Depreciation &amp; Amort.</t>
  </si>
  <si>
    <t>Total Operating Expenses</t>
  </si>
  <si>
    <t>Earnings Before Interest and Tax(EBIT)</t>
  </si>
  <si>
    <t>Other Income and Expenses</t>
  </si>
  <si>
    <t xml:space="preserve">     Interest expense</t>
  </si>
  <si>
    <t xml:space="preserve">     Interest and Invest. Income</t>
  </si>
  <si>
    <t>Total Other Income and Expenses</t>
  </si>
  <si>
    <t>Income Before Tax</t>
  </si>
  <si>
    <t>Income tax expense</t>
  </si>
  <si>
    <t>Net Income</t>
  </si>
  <si>
    <t>Statement of Cash Flows</t>
  </si>
  <si>
    <t>Depreciation &amp; Amort.</t>
  </si>
  <si>
    <t>Amort. of Goodwill and Intangibles</t>
  </si>
  <si>
    <t>(Gain) Loss From Sale Of Assets</t>
  </si>
  <si>
    <t>Stock-Based Compensation</t>
  </si>
  <si>
    <t>Other Operating Activities</t>
  </si>
  <si>
    <t>Change in Acc. Receivable</t>
  </si>
  <si>
    <t>Change in Acc. Payable</t>
  </si>
  <si>
    <t>Change in Other Net Operating Assets</t>
  </si>
  <si>
    <t>Cash from Ops.</t>
  </si>
  <si>
    <t>Capital Expenditure</t>
  </si>
  <si>
    <t>Sale of Property, Plant, and Equipment</t>
  </si>
  <si>
    <t>Cash Acquisitions</t>
  </si>
  <si>
    <t>Divestitures</t>
  </si>
  <si>
    <t>Invest. in Marketable &amp; Equity Securt.</t>
  </si>
  <si>
    <t>Net (Inc.) Dec. in Loans Originated/Sold</t>
  </si>
  <si>
    <t>Other Investing Activities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</si>
  <si>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</si>
  <si>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</si>
  <si>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</si>
  <si>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</si>
  <si>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</si>
  <si>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</si>
  <si>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</si>
  <si>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</si>
  <si>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 Stock</t>
  </si>
  <si>
    <t>Common Dividends Paid</t>
  </si>
  <si>
    <t>Total Dividends Paid</t>
  </si>
  <si>
    <t>Special Dividend Paid</t>
  </si>
  <si>
    <t>Other Financing Activities</t>
  </si>
  <si>
    <t>Cash from Financing</t>
  </si>
  <si>
    <t>Net Change in Cash</t>
  </si>
  <si>
    <t>Valuation Model</t>
  </si>
  <si>
    <t>Sustainable Long Term Growth Rate</t>
  </si>
  <si>
    <t xml:space="preserve">^If you can instead of adding cell E18 to M10 add the average from Monte Carlo Sim to M10 as the final estimated value </t>
  </si>
  <si>
    <t>In $</t>
  </si>
  <si>
    <t>FCF to Equity</t>
  </si>
  <si>
    <t>Depreciation</t>
  </si>
  <si>
    <t>CAPEX</t>
  </si>
  <si>
    <t>Changes in working capital</t>
  </si>
  <si>
    <t>FCF to Equity (NI+Dep-Capex-chge NWC</t>
  </si>
  <si>
    <t>Terminal Value at end of year 5(Second Stage, Terminal Value)</t>
  </si>
  <si>
    <t>Total FCF to Equity ( both first stage and second stage)</t>
  </si>
  <si>
    <t>Total Equity Value</t>
  </si>
  <si>
    <t>Per Share</t>
  </si>
  <si>
    <t>Total FCF to the Firm</t>
  </si>
  <si>
    <t>After Tax Interest Expense</t>
  </si>
  <si>
    <t>Total FCF to the Firm (Total FCF Equity + After tax Interest Expense)</t>
  </si>
  <si>
    <t>Terminal Value at end of year 5</t>
  </si>
  <si>
    <t>Enterprise Value</t>
  </si>
  <si>
    <t xml:space="preserve">Less Total Debt </t>
  </si>
  <si>
    <t>Number of Shares</t>
  </si>
  <si>
    <t>Equity Value Per Share</t>
  </si>
  <si>
    <t>Inputs</t>
  </si>
  <si>
    <t>Change/10%</t>
  </si>
  <si>
    <t>Input Change</t>
  </si>
  <si>
    <t>Estimated Change for Input</t>
  </si>
  <si>
    <t>Total Decimal Change</t>
  </si>
  <si>
    <t>Final Estimated Value</t>
  </si>
  <si>
    <t>item 3 pricing</t>
  </si>
  <si>
    <t>item 3 ART</t>
  </si>
  <si>
    <t>Organic Downloads Mean</t>
  </si>
  <si>
    <t>Monthly conversion rate</t>
  </si>
  <si>
    <t>item 1 ART</t>
  </si>
  <si>
    <t>item 4 ART</t>
  </si>
  <si>
    <t>item 4 pricing</t>
  </si>
  <si>
    <t>item 1 pricing</t>
  </si>
  <si>
    <t>item 2 pricing</t>
  </si>
  <si>
    <t>item 2 ART</t>
  </si>
  <si>
    <t>Paid Downloads Mean</t>
  </si>
  <si>
    <t>Annual Plan C.R.</t>
  </si>
  <si>
    <t>Sales &amp; Marketing Technology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</si>
</sst>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mmm&quot; &quot;d&quot;, &quot;yyyy"/>
    <numFmt numFmtId="165" formatCode="&quot;$&quot;#,##0.00"/>
    <numFmt numFmtId="166" formatCode="&quot;$&quot;#,##0"/>
    <numFmt numFmtId="167" formatCode="0.0%"/>
    <numFmt numFmtId="168" formatCode="&quot;Month&quot;\ @"/>
    <numFmt numFmtId="169" formatCode="&quot;Year&quot;\ @"/>
    <numFmt numFmtId="170" formatCode="_(&quot;$&quot;* #,##0_);_(&quot;$&quot;* \(#,##0\);_(&quot;$&quot;* &quot;-&quot;??_);_(@_)"/>
    <numFmt numFmtId="171" formatCode="&quot;$&quot;#,##0_);[Red]\(&quot;$&quot;#,##0\)"/>
    <numFmt numFmtId="172" formatCode="&quot;$&quot;#,##0.00_);[Red]\(&quot;$&quot;#,##0.00\)"/>
    <numFmt numFmtId="173" formatCode="0.000%"/>
  </numFmts>
  <fonts count="37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i/>
      <sz val="16"/>
      <color theme="1"/>
      <name val="Arial"/>
      <family val="2"/>
    </font>
    <font>
      <b/>
      <sz val="15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i/>
      <u/>
      <sz val="15"/>
      <color rgb="FF0000FF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rgb="FF0000FF"/>
      <name val="Times New Roman"/>
      <family val="1"/>
    </font>
    <font>
      <sz val="10"/>
      <color theme="1"/>
      <name val="Arial"/>
      <family val="2"/>
      <scheme val="minor"/>
    </font>
    <font>
      <b/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i/>
      <u/>
      <sz val="10"/>
      <color rgb="FF0000FF"/>
      <name val="Times New Roman"/>
      <family val="1"/>
    </font>
    <font>
      <b/>
      <i/>
      <u/>
      <sz val="10"/>
      <color rgb="FF0000FF"/>
      <name val="Times New Roman"/>
      <family val="1"/>
    </font>
    <font>
      <b/>
      <i/>
      <u/>
      <sz val="10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i/>
      <u/>
      <sz val="10"/>
      <color rgb="FF0000FF"/>
      <name val="Times New Roman"/>
      <family val="1"/>
    </font>
    <font>
      <b/>
      <i/>
      <u/>
      <sz val="10"/>
      <color rgb="FF0000FF"/>
      <name val="Times New Roman"/>
      <family val="1"/>
    </font>
    <font>
      <b/>
      <i/>
      <u/>
      <sz val="10"/>
      <color rgb="FF0000FF"/>
      <name val="Times New Roman"/>
      <family val="1"/>
    </font>
    <font>
      <b/>
      <i/>
      <u/>
      <sz val="10"/>
      <color rgb="FF0000FF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&quot;Times New Roman&quot;"/>
    </font>
    <font>
      <b/>
      <sz val="10"/>
      <color rgb="FF0000FF"/>
      <name val="Times New Roman"/>
      <family val="1"/>
    </font>
    <font>
      <b/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i/>
      <sz val="10"/>
      <color rgb="FF0000FF"/>
      <name val="Times New Roman"/>
      <family val="1"/>
    </font>
    <font>
      <sz val="10"/>
      <color theme="1"/>
      <name val="Arial"/>
      <family val="2"/>
      <scheme val="minor"/>
    </font>
    <font>
      <i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22"/>
    <xf numFmtId="9" fontId="35" fillId="0" borderId="22"/>
  </cellStyleXfs>
  <cellXfs count="224">
    <xf numFmtId="0" fontId="0" fillId="0" borderId="0" xfId="0" applyBorder="1"/>
    <xf numFmtId="164" fontId="1" fillId="0" borderId="0" xfId="0" applyNumberFormat="1" applyFont="1" applyBorder="1"/>
    <xf numFmtId="0" fontId="5" fillId="3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  <xf numFmtId="0" fontId="7" fillId="3" borderId="0" xfId="0" applyFont="1" applyFill="1" applyBorder="1"/>
    <xf numFmtId="0" fontId="8" fillId="4" borderId="1" xfId="0" applyFont="1" applyFill="1" applyBorder="1"/>
    <xf numFmtId="0" fontId="8" fillId="0" borderId="3" xfId="0" applyFont="1" applyBorder="1"/>
    <xf numFmtId="0" fontId="7" fillId="3" borderId="4" xfId="0" applyFont="1" applyFill="1" applyBorder="1"/>
    <xf numFmtId="49" fontId="7" fillId="3" borderId="3" xfId="0" applyNumberFormat="1" applyFont="1" applyFill="1" applyBorder="1"/>
    <xf numFmtId="0" fontId="7" fillId="5" borderId="4" xfId="0" applyFont="1" applyFill="1" applyBorder="1"/>
    <xf numFmtId="9" fontId="7" fillId="5" borderId="4" xfId="0" applyNumberFormat="1" applyFont="1" applyFill="1" applyBorder="1"/>
    <xf numFmtId="0" fontId="7" fillId="0" borderId="4" xfId="0" applyFont="1" applyBorder="1"/>
    <xf numFmtId="49" fontId="7" fillId="3" borderId="5" xfId="0" applyNumberFormat="1" applyFont="1" applyFill="1" applyBorder="1"/>
    <xf numFmtId="9" fontId="7" fillId="5" borderId="6" xfId="0" applyNumberFormat="1" applyFont="1" applyFill="1" applyBorder="1"/>
    <xf numFmtId="9" fontId="7" fillId="3" borderId="0" xfId="0" applyNumberFormat="1" applyFont="1" applyFill="1" applyBorder="1"/>
    <xf numFmtId="0" fontId="7" fillId="0" borderId="3" xfId="0" applyFont="1" applyBorder="1"/>
    <xf numFmtId="165" fontId="7" fillId="5" borderId="0" xfId="0" applyNumberFormat="1" applyFont="1" applyFill="1" applyBorder="1"/>
    <xf numFmtId="0" fontId="7" fillId="3" borderId="3" xfId="0" applyFont="1" applyFill="1" applyBorder="1"/>
    <xf numFmtId="9" fontId="7" fillId="5" borderId="0" xfId="0" applyNumberFormat="1" applyFont="1" applyFill="1" applyBorder="1"/>
    <xf numFmtId="0" fontId="8" fillId="3" borderId="3" xfId="0" applyFont="1" applyFill="1" applyBorder="1"/>
    <xf numFmtId="0" fontId="8" fillId="3" borderId="0" xfId="0" applyFont="1" applyFill="1" applyBorder="1"/>
    <xf numFmtId="0" fontId="7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9" fillId="0" borderId="3" xfId="0" applyFont="1" applyBorder="1"/>
    <xf numFmtId="0" fontId="7" fillId="5" borderId="0" xfId="0" applyFont="1" applyFill="1" applyBorder="1"/>
    <xf numFmtId="165" fontId="7" fillId="3" borderId="0" xfId="0" applyNumberFormat="1" applyFont="1" applyFill="1" applyBorder="1"/>
    <xf numFmtId="9" fontId="7" fillId="0" borderId="0" xfId="0" applyNumberFormat="1" applyFont="1" applyBorder="1"/>
    <xf numFmtId="10" fontId="7" fillId="5" borderId="0" xfId="0" applyNumberFormat="1" applyFont="1" applyFill="1" applyBorder="1"/>
    <xf numFmtId="0" fontId="9" fillId="3" borderId="3" xfId="0" applyFont="1" applyFill="1" applyBorder="1" applyAlignment="1">
      <alignment horizontal="left"/>
    </xf>
    <xf numFmtId="165" fontId="7" fillId="0" borderId="0" xfId="0" applyNumberFormat="1" applyFont="1" applyBorder="1"/>
    <xf numFmtId="49" fontId="10" fillId="3" borderId="3" xfId="0" applyNumberFormat="1" applyFont="1" applyFill="1" applyBorder="1"/>
    <xf numFmtId="3" fontId="7" fillId="5" borderId="0" xfId="0" applyNumberFormat="1" applyFont="1" applyFill="1" applyBorder="1"/>
    <xf numFmtId="0" fontId="7" fillId="0" borderId="5" xfId="0" applyFont="1" applyBorder="1"/>
    <xf numFmtId="0" fontId="7" fillId="0" borderId="8" xfId="0" applyFont="1" applyBorder="1"/>
    <xf numFmtId="0" fontId="7" fillId="3" borderId="8" xfId="0" applyFont="1" applyFill="1" applyBorder="1"/>
    <xf numFmtId="0" fontId="7" fillId="3" borderId="6" xfId="0" applyFont="1" applyFill="1" applyBorder="1"/>
    <xf numFmtId="10" fontId="7" fillId="0" borderId="4" xfId="0" applyNumberFormat="1" applyFont="1" applyBorder="1"/>
    <xf numFmtId="166" fontId="7" fillId="5" borderId="0" xfId="0" applyNumberFormat="1" applyFont="1" applyFill="1" applyBorder="1"/>
    <xf numFmtId="49" fontId="7" fillId="0" borderId="0" xfId="0" applyNumberFormat="1" applyFont="1" applyBorder="1"/>
    <xf numFmtId="10" fontId="7" fillId="5" borderId="4" xfId="0" applyNumberFormat="1" applyFont="1" applyFill="1" applyBorder="1"/>
    <xf numFmtId="49" fontId="8" fillId="3" borderId="5" xfId="0" applyNumberFormat="1" applyFont="1" applyFill="1" applyBorder="1"/>
    <xf numFmtId="10" fontId="7" fillId="0" borderId="8" xfId="0" applyNumberFormat="1" applyFont="1" applyBorder="1"/>
    <xf numFmtId="10" fontId="7" fillId="0" borderId="6" xfId="0" applyNumberFormat="1" applyFont="1" applyBorder="1"/>
    <xf numFmtId="0" fontId="7" fillId="4" borderId="7" xfId="0" applyFont="1" applyFill="1" applyBorder="1"/>
    <xf numFmtId="166" fontId="7" fillId="0" borderId="3" xfId="0" applyNumberFormat="1" applyFont="1" applyBorder="1"/>
    <xf numFmtId="0" fontId="8" fillId="0" borderId="5" xfId="0" applyFont="1" applyBorder="1"/>
    <xf numFmtId="0" fontId="7" fillId="0" borderId="6" xfId="0" applyFont="1" applyBorder="1"/>
    <xf numFmtId="0" fontId="10" fillId="0" borderId="3" xfId="0" applyFont="1" applyBorder="1"/>
    <xf numFmtId="0" fontId="10" fillId="0" borderId="0" xfId="0" applyFont="1" applyBorder="1"/>
    <xf numFmtId="0" fontId="10" fillId="0" borderId="4" xfId="0" applyFont="1" applyBorder="1"/>
    <xf numFmtId="0" fontId="7" fillId="5" borderId="8" xfId="0" applyFont="1" applyFill="1" applyBorder="1"/>
    <xf numFmtId="0" fontId="8" fillId="6" borderId="12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center"/>
    </xf>
    <xf numFmtId="165" fontId="7" fillId="5" borderId="13" xfId="0" applyNumberFormat="1" applyFont="1" applyFill="1" applyBorder="1"/>
    <xf numFmtId="0" fontId="7" fillId="5" borderId="14" xfId="0" applyFont="1" applyFill="1" applyBorder="1"/>
    <xf numFmtId="0" fontId="7" fillId="0" borderId="14" xfId="0" applyFont="1" applyBorder="1"/>
    <xf numFmtId="9" fontId="7" fillId="5" borderId="14" xfId="0" applyNumberFormat="1" applyFont="1" applyFill="1" applyBorder="1"/>
    <xf numFmtId="10" fontId="7" fillId="0" borderId="13" xfId="0" applyNumberFormat="1" applyFont="1" applyBorder="1"/>
    <xf numFmtId="10" fontId="7" fillId="0" borderId="14" xfId="0" applyNumberFormat="1" applyFont="1" applyBorder="1"/>
    <xf numFmtId="10" fontId="7" fillId="5" borderId="14" xfId="0" applyNumberFormat="1" applyFont="1" applyFill="1" applyBorder="1"/>
    <xf numFmtId="10" fontId="7" fillId="0" borderId="15" xfId="0" applyNumberFormat="1" applyFont="1" applyBorder="1"/>
    <xf numFmtId="9" fontId="7" fillId="5" borderId="15" xfId="0" applyNumberFormat="1" applyFont="1" applyFill="1" applyBorder="1"/>
    <xf numFmtId="0" fontId="7" fillId="0" borderId="15" xfId="0" applyFont="1" applyBorder="1"/>
    <xf numFmtId="10" fontId="7" fillId="5" borderId="13" xfId="0" applyNumberFormat="1" applyFont="1" applyFill="1" applyBorder="1"/>
    <xf numFmtId="10" fontId="7" fillId="5" borderId="15" xfId="0" applyNumberFormat="1" applyFont="1" applyFill="1" applyBorder="1"/>
    <xf numFmtId="2" fontId="7" fillId="5" borderId="4" xfId="0" applyNumberFormat="1" applyFont="1" applyFill="1" applyBorder="1" applyAlignment="1">
      <alignment horizontal="right"/>
    </xf>
    <xf numFmtId="167" fontId="7" fillId="5" borderId="4" xfId="0" applyNumberFormat="1" applyFont="1" applyFill="1" applyBorder="1" applyAlignment="1">
      <alignment horizontal="right"/>
    </xf>
    <xf numFmtId="10" fontId="7" fillId="5" borderId="4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165" fontId="7" fillId="5" borderId="4" xfId="0" applyNumberFormat="1" applyFont="1" applyFill="1" applyBorder="1" applyAlignment="1">
      <alignment horizontal="right"/>
    </xf>
    <xf numFmtId="9" fontId="8" fillId="5" borderId="4" xfId="0" applyNumberFormat="1" applyFont="1" applyFill="1" applyBorder="1" applyAlignment="1">
      <alignment horizontal="right"/>
    </xf>
    <xf numFmtId="9" fontId="7" fillId="0" borderId="4" xfId="0" applyNumberFormat="1" applyFont="1" applyBorder="1"/>
    <xf numFmtId="167" fontId="8" fillId="0" borderId="6" xfId="0" applyNumberFormat="1" applyFont="1" applyBorder="1" applyAlignment="1">
      <alignment horizontal="right"/>
    </xf>
    <xf numFmtId="9" fontId="7" fillId="5" borderId="6" xfId="0" applyNumberFormat="1" applyFont="1" applyFill="1" applyBorder="1" applyAlignment="1">
      <alignment horizontal="right"/>
    </xf>
    <xf numFmtId="0" fontId="8" fillId="0" borderId="9" xfId="0" applyFont="1" applyBorder="1" applyAlignment="1">
      <alignment horizontal="left"/>
    </xf>
    <xf numFmtId="3" fontId="7" fillId="5" borderId="11" xfId="0" applyNumberFormat="1" applyFont="1" applyFill="1" applyBorder="1"/>
    <xf numFmtId="0" fontId="11" fillId="3" borderId="3" xfId="0" applyFont="1" applyFill="1" applyBorder="1" applyAlignment="1">
      <alignment horizontal="center"/>
    </xf>
    <xf numFmtId="168" fontId="8" fillId="3" borderId="0" xfId="0" applyNumberFormat="1" applyFont="1" applyFill="1" applyBorder="1" applyAlignment="1">
      <alignment horizontal="right"/>
    </xf>
    <xf numFmtId="168" fontId="8" fillId="3" borderId="4" xfId="0" applyNumberFormat="1" applyFont="1" applyFill="1" applyBorder="1" applyAlignment="1">
      <alignment horizontal="right"/>
    </xf>
    <xf numFmtId="169" fontId="8" fillId="3" borderId="0" xfId="0" applyNumberFormat="1" applyFont="1" applyFill="1" applyBorder="1" applyAlignment="1">
      <alignment horizontal="right"/>
    </xf>
    <xf numFmtId="0" fontId="8" fillId="7" borderId="0" xfId="0" applyFont="1" applyFill="1" applyBorder="1"/>
    <xf numFmtId="0" fontId="8" fillId="7" borderId="3" xfId="0" applyFont="1" applyFill="1" applyBorder="1"/>
    <xf numFmtId="0" fontId="12" fillId="7" borderId="0" xfId="0" applyFont="1" applyFill="1" applyBorder="1"/>
    <xf numFmtId="3" fontId="7" fillId="3" borderId="0" xfId="0" applyNumberFormat="1" applyFont="1" applyFill="1" applyBorder="1"/>
    <xf numFmtId="3" fontId="7" fillId="3" borderId="4" xfId="0" applyNumberFormat="1" applyFont="1" applyFill="1" applyBorder="1"/>
    <xf numFmtId="3" fontId="7" fillId="3" borderId="3" xfId="0" applyNumberFormat="1" applyFont="1" applyFill="1" applyBorder="1"/>
    <xf numFmtId="3" fontId="8" fillId="3" borderId="3" xfId="0" applyNumberFormat="1" applyFont="1" applyFill="1" applyBorder="1"/>
    <xf numFmtId="0" fontId="13" fillId="3" borderId="0" xfId="0" applyFont="1" applyFill="1" applyBorder="1"/>
    <xf numFmtId="3" fontId="14" fillId="3" borderId="3" xfId="0" applyNumberFormat="1" applyFont="1" applyFill="1" applyBorder="1"/>
    <xf numFmtId="9" fontId="7" fillId="3" borderId="4" xfId="0" applyNumberFormat="1" applyFont="1" applyFill="1" applyBorder="1"/>
    <xf numFmtId="0" fontId="15" fillId="3" borderId="3" xfId="0" applyFont="1" applyFill="1" applyBorder="1"/>
    <xf numFmtId="0" fontId="16" fillId="3" borderId="0" xfId="0" applyFont="1" applyFill="1" applyBorder="1"/>
    <xf numFmtId="0" fontId="17" fillId="3" borderId="3" xfId="0" applyFont="1" applyFill="1" applyBorder="1"/>
    <xf numFmtId="0" fontId="18" fillId="3" borderId="0" xfId="0" applyFont="1" applyFill="1" applyBorder="1"/>
    <xf numFmtId="0" fontId="19" fillId="3" borderId="3" xfId="0" applyFont="1" applyFill="1" applyBorder="1"/>
    <xf numFmtId="165" fontId="7" fillId="3" borderId="4" xfId="0" applyNumberFormat="1" applyFont="1" applyFill="1" applyBorder="1"/>
    <xf numFmtId="49" fontId="7" fillId="3" borderId="0" xfId="0" applyNumberFormat="1" applyFont="1" applyFill="1" applyBorder="1"/>
    <xf numFmtId="10" fontId="20" fillId="3" borderId="0" xfId="0" applyNumberFormat="1" applyFont="1" applyFill="1" applyBorder="1"/>
    <xf numFmtId="10" fontId="20" fillId="3" borderId="4" xfId="0" applyNumberFormat="1" applyFont="1" applyFill="1" applyBorder="1"/>
    <xf numFmtId="0" fontId="21" fillId="3" borderId="0" xfId="0" applyFont="1" applyFill="1" applyBorder="1"/>
    <xf numFmtId="0" fontId="22" fillId="3" borderId="3" xfId="0" applyFont="1" applyFill="1" applyBorder="1"/>
    <xf numFmtId="165" fontId="7" fillId="3" borderId="0" xfId="0" applyNumberFormat="1" applyFont="1" applyFill="1" applyBorder="1" applyAlignment="1">
      <alignment horizontal="right"/>
    </xf>
    <xf numFmtId="165" fontId="7" fillId="3" borderId="4" xfId="0" applyNumberFormat="1" applyFont="1" applyFill="1" applyBorder="1" applyAlignment="1">
      <alignment horizontal="right"/>
    </xf>
    <xf numFmtId="10" fontId="7" fillId="3" borderId="0" xfId="0" applyNumberFormat="1" applyFont="1" applyFill="1" applyBorder="1" applyAlignment="1">
      <alignment horizontal="right"/>
    </xf>
    <xf numFmtId="10" fontId="7" fillId="3" borderId="4" xfId="0" applyNumberFormat="1" applyFont="1" applyFill="1" applyBorder="1" applyAlignment="1">
      <alignment horizontal="right"/>
    </xf>
    <xf numFmtId="165" fontId="7" fillId="0" borderId="4" xfId="0" applyNumberFormat="1" applyFont="1" applyBorder="1"/>
    <xf numFmtId="0" fontId="23" fillId="0" borderId="0" xfId="0" applyFont="1" applyBorder="1"/>
    <xf numFmtId="0" fontId="24" fillId="0" borderId="3" xfId="0" applyFont="1" applyBorder="1"/>
    <xf numFmtId="3" fontId="7" fillId="0" borderId="3" xfId="0" applyNumberFormat="1" applyFont="1" applyBorder="1"/>
    <xf numFmtId="0" fontId="20" fillId="3" borderId="0" xfId="0" applyFont="1" applyFill="1" applyBorder="1"/>
    <xf numFmtId="0" fontId="20" fillId="3" borderId="4" xfId="0" applyFont="1" applyFill="1" applyBorder="1"/>
    <xf numFmtId="0" fontId="7" fillId="3" borderId="5" xfId="0" applyFont="1" applyFill="1" applyBorder="1"/>
    <xf numFmtId="165" fontId="7" fillId="0" borderId="3" xfId="0" applyNumberFormat="1" applyFont="1" applyBorder="1"/>
    <xf numFmtId="165" fontId="1" fillId="3" borderId="0" xfId="0" applyNumberFormat="1" applyFont="1" applyFill="1" applyBorder="1" applyAlignment="1">
      <alignment horizontal="right"/>
    </xf>
    <xf numFmtId="0" fontId="12" fillId="0" borderId="4" xfId="0" applyFont="1" applyBorder="1"/>
    <xf numFmtId="0" fontId="12" fillId="0" borderId="3" xfId="0" applyFont="1" applyBorder="1"/>
    <xf numFmtId="10" fontId="7" fillId="3" borderId="0" xfId="0" applyNumberFormat="1" applyFont="1" applyFill="1" applyBorder="1"/>
    <xf numFmtId="10" fontId="7" fillId="3" borderId="4" xfId="0" applyNumberFormat="1" applyFont="1" applyFill="1" applyBorder="1"/>
    <xf numFmtId="0" fontId="7" fillId="7" borderId="0" xfId="0" applyFont="1" applyFill="1" applyBorder="1"/>
    <xf numFmtId="0" fontId="25" fillId="3" borderId="0" xfId="0" applyFont="1" applyFill="1" applyBorder="1"/>
    <xf numFmtId="168" fontId="26" fillId="3" borderId="0" xfId="0" applyNumberFormat="1" applyFont="1" applyFill="1" applyBorder="1" applyAlignment="1">
      <alignment horizontal="right"/>
    </xf>
    <xf numFmtId="168" fontId="26" fillId="3" borderId="4" xfId="0" applyNumberFormat="1" applyFont="1" applyFill="1" applyBorder="1" applyAlignment="1">
      <alignment horizontal="right"/>
    </xf>
    <xf numFmtId="0" fontId="25" fillId="3" borderId="3" xfId="0" applyFont="1" applyFill="1" applyBorder="1"/>
    <xf numFmtId="166" fontId="7" fillId="3" borderId="0" xfId="0" applyNumberFormat="1" applyFont="1" applyFill="1" applyBorder="1"/>
    <xf numFmtId="166" fontId="7" fillId="3" borderId="4" xfId="0" applyNumberFormat="1" applyFont="1" applyFill="1" applyBorder="1"/>
    <xf numFmtId="165" fontId="27" fillId="3" borderId="0" xfId="0" applyNumberFormat="1" applyFont="1" applyFill="1" applyBorder="1" applyAlignment="1">
      <alignment horizontal="right"/>
    </xf>
    <xf numFmtId="0" fontId="8" fillId="0" borderId="7" xfId="0" applyFont="1" applyBorder="1"/>
    <xf numFmtId="166" fontId="7" fillId="3" borderId="7" xfId="0" applyNumberFormat="1" applyFont="1" applyFill="1" applyBorder="1"/>
    <xf numFmtId="166" fontId="7" fillId="3" borderId="2" xfId="0" applyNumberFormat="1" applyFont="1" applyFill="1" applyBorder="1"/>
    <xf numFmtId="0" fontId="8" fillId="0" borderId="1" xfId="0" applyFont="1" applyBorder="1"/>
    <xf numFmtId="0" fontId="28" fillId="0" borderId="0" xfId="0" applyFont="1" applyBorder="1"/>
    <xf numFmtId="168" fontId="7" fillId="3" borderId="0" xfId="0" applyNumberFormat="1" applyFont="1" applyFill="1" applyBorder="1"/>
    <xf numFmtId="0" fontId="28" fillId="0" borderId="3" xfId="0" applyFont="1" applyBorder="1"/>
    <xf numFmtId="0" fontId="8" fillId="7" borderId="0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left"/>
    </xf>
    <xf numFmtId="0" fontId="29" fillId="0" borderId="0" xfId="0" applyFont="1" applyBorder="1"/>
    <xf numFmtId="0" fontId="30" fillId="0" borderId="3" xfId="0" applyFont="1" applyBorder="1"/>
    <xf numFmtId="165" fontId="1" fillId="3" borderId="0" xfId="0" applyNumberFormat="1" applyFont="1" applyFill="1" applyBorder="1"/>
    <xf numFmtId="0" fontId="31" fillId="7" borderId="0" xfId="0" applyFont="1" applyFill="1" applyBorder="1" applyAlignment="1">
      <alignment horizontal="center"/>
    </xf>
    <xf numFmtId="0" fontId="1" fillId="7" borderId="0" xfId="0" applyFont="1" applyFill="1" applyBorder="1"/>
    <xf numFmtId="0" fontId="1" fillId="7" borderId="4" xfId="0" applyFont="1" applyFill="1" applyBorder="1"/>
    <xf numFmtId="0" fontId="31" fillId="7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26" fillId="3" borderId="0" xfId="0" applyFont="1" applyFill="1" applyBorder="1"/>
    <xf numFmtId="165" fontId="1" fillId="3" borderId="4" xfId="0" applyNumberFormat="1" applyFont="1" applyFill="1" applyBorder="1"/>
    <xf numFmtId="0" fontId="26" fillId="3" borderId="3" xfId="0" applyFont="1" applyFill="1" applyBorder="1"/>
    <xf numFmtId="0" fontId="1" fillId="3" borderId="0" xfId="0" applyFont="1" applyFill="1" applyBorder="1"/>
    <xf numFmtId="0" fontId="1" fillId="0" borderId="0" xfId="0" applyFont="1" applyBorder="1"/>
    <xf numFmtId="0" fontId="1" fillId="0" borderId="4" xfId="0" applyFont="1" applyBorder="1"/>
    <xf numFmtId="0" fontId="1" fillId="3" borderId="3" xfId="0" applyFont="1" applyFill="1" applyBorder="1"/>
    <xf numFmtId="0" fontId="1" fillId="0" borderId="3" xfId="0" applyFont="1" applyBorder="1"/>
    <xf numFmtId="0" fontId="26" fillId="0" borderId="0" xfId="0" applyFont="1" applyBorder="1"/>
    <xf numFmtId="9" fontId="1" fillId="0" borderId="0" xfId="0" applyNumberFormat="1" applyFont="1" applyBorder="1"/>
    <xf numFmtId="0" fontId="26" fillId="0" borderId="3" xfId="0" applyFont="1" applyBorder="1"/>
    <xf numFmtId="0" fontId="1" fillId="3" borderId="4" xfId="0" applyFont="1" applyFill="1" applyBorder="1"/>
    <xf numFmtId="0" fontId="32" fillId="0" borderId="0" xfId="0" applyFont="1" applyBorder="1"/>
    <xf numFmtId="0" fontId="8" fillId="8" borderId="16" xfId="0" applyFont="1" applyFill="1" applyBorder="1"/>
    <xf numFmtId="167" fontId="8" fillId="8" borderId="17" xfId="0" applyNumberFormat="1" applyFont="1" applyFill="1" applyBorder="1"/>
    <xf numFmtId="0" fontId="8" fillId="8" borderId="18" xfId="0" applyFont="1" applyFill="1" applyBorder="1"/>
    <xf numFmtId="167" fontId="8" fillId="8" borderId="19" xfId="0" applyNumberFormat="1" applyFont="1" applyFill="1" applyBorder="1"/>
    <xf numFmtId="0" fontId="8" fillId="8" borderId="20" xfId="0" applyFont="1" applyFill="1" applyBorder="1"/>
    <xf numFmtId="9" fontId="8" fillId="8" borderId="21" xfId="0" applyNumberFormat="1" applyFont="1" applyFill="1" applyBorder="1"/>
    <xf numFmtId="0" fontId="7" fillId="9" borderId="22" xfId="0" applyFont="1" applyFill="1"/>
    <xf numFmtId="0" fontId="10" fillId="10" borderId="22" xfId="0" applyFont="1" applyFill="1" applyAlignment="1">
      <alignment horizontal="center"/>
    </xf>
    <xf numFmtId="0" fontId="7" fillId="10" borderId="22" xfId="0" applyFont="1" applyFill="1" applyAlignment="1">
      <alignment horizontal="center"/>
    </xf>
    <xf numFmtId="169" fontId="7" fillId="10" borderId="22" xfId="0" applyNumberFormat="1" applyFont="1" applyFill="1"/>
    <xf numFmtId="0" fontId="33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170" fontId="7" fillId="0" borderId="0" xfId="0" applyNumberFormat="1" applyFont="1" applyBorder="1"/>
    <xf numFmtId="43" fontId="7" fillId="0" borderId="0" xfId="0" applyNumberFormat="1" applyFont="1" applyBorder="1"/>
    <xf numFmtId="0" fontId="8" fillId="0" borderId="0" xfId="0" applyFont="1" applyBorder="1" applyAlignment="1">
      <alignment horizontal="left"/>
    </xf>
    <xf numFmtId="171" fontId="8" fillId="0" borderId="0" xfId="0" applyNumberFormat="1" applyFont="1" applyBorder="1"/>
    <xf numFmtId="3" fontId="8" fillId="0" borderId="0" xfId="0" applyNumberFormat="1" applyFont="1" applyBorder="1"/>
    <xf numFmtId="0" fontId="8" fillId="0" borderId="23" xfId="0" applyFont="1" applyBorder="1" applyAlignment="1">
      <alignment horizontal="left"/>
    </xf>
    <xf numFmtId="172" fontId="34" fillId="0" borderId="23" xfId="0" applyNumberFormat="1" applyFont="1" applyBorder="1"/>
    <xf numFmtId="0" fontId="9" fillId="0" borderId="0" xfId="0" applyFont="1" applyBorder="1"/>
    <xf numFmtId="170" fontId="8" fillId="0" borderId="0" xfId="0" applyNumberFormat="1" applyFont="1" applyBorder="1"/>
    <xf numFmtId="0" fontId="9" fillId="0" borderId="8" xfId="0" applyFont="1" applyBorder="1"/>
    <xf numFmtId="165" fontId="34" fillId="0" borderId="8" xfId="0" applyNumberFormat="1" applyFont="1" applyBorder="1"/>
    <xf numFmtId="1" fontId="7" fillId="0" borderId="0" xfId="0" applyNumberFormat="1" applyFont="1" applyBorder="1"/>
    <xf numFmtId="167" fontId="7" fillId="0" borderId="0" xfId="0" applyNumberFormat="1" applyFont="1" applyBorder="1"/>
    <xf numFmtId="1" fontId="8" fillId="0" borderId="0" xfId="0" applyNumberFormat="1" applyFont="1" applyBorder="1"/>
    <xf numFmtId="1" fontId="7" fillId="5" borderId="4" xfId="0" applyNumberFormat="1" applyFont="1" applyFill="1" applyBorder="1"/>
    <xf numFmtId="1" fontId="7" fillId="5" borderId="6" xfId="0" applyNumberFormat="1" applyFont="1" applyFill="1" applyBorder="1"/>
    <xf numFmtId="2" fontId="7" fillId="5" borderId="0" xfId="0" applyNumberFormat="1" applyFont="1" applyFill="1" applyBorder="1"/>
    <xf numFmtId="1" fontId="7" fillId="5" borderId="0" xfId="0" applyNumberFormat="1" applyFont="1" applyFill="1" applyBorder="1"/>
    <xf numFmtId="2" fontId="7" fillId="5" borderId="8" xfId="0" applyNumberFormat="1" applyFont="1" applyFill="1" applyBorder="1"/>
    <xf numFmtId="49" fontId="36" fillId="3" borderId="24" xfId="0" applyNumberFormat="1" applyFont="1" applyFill="1" applyBorder="1"/>
    <xf numFmtId="0" fontId="36" fillId="0" borderId="24" xfId="0" applyFont="1" applyBorder="1"/>
    <xf numFmtId="10" fontId="36" fillId="0" borderId="24" xfId="0" applyNumberFormat="1" applyFont="1" applyBorder="1"/>
    <xf numFmtId="10" fontId="36" fillId="0" borderId="24" xfId="1" applyNumberFormat="1" applyFont="1" applyBorder="1"/>
    <xf numFmtId="173" fontId="36" fillId="0" borderId="24" xfId="1" applyNumberFormat="1" applyFont="1" applyBorder="1"/>
    <xf numFmtId="10" fontId="36" fillId="3" borderId="24" xfId="0" applyNumberFormat="1" applyFont="1" applyFill="1" applyBorder="1"/>
    <xf numFmtId="0" fontId="12" fillId="0" borderId="0" xfId="0" applyFont="1" applyBorder="1"/>
    <xf numFmtId="0" fontId="36" fillId="3" borderId="24" xfId="0" applyFont="1" applyFill="1" applyBorder="1"/>
    <xf numFmtId="0" fontId="32" fillId="0" borderId="22" xfId="0" applyFont="1"/>
    <xf numFmtId="10" fontId="36" fillId="0" borderId="25" xfId="1" applyNumberFormat="1" applyFont="1" applyBorder="1"/>
    <xf numFmtId="0" fontId="0" fillId="0" borderId="22" xfId="0"/>
    <xf numFmtId="0" fontId="12" fillId="0" borderId="24" xfId="0" applyFont="1" applyBorder="1"/>
    <xf numFmtId="0" fontId="32" fillId="0" borderId="24" xfId="0" applyFont="1" applyBorder="1"/>
    <xf numFmtId="171" fontId="32" fillId="0" borderId="24" xfId="0" applyNumberFormat="1" applyFont="1" applyBorder="1"/>
    <xf numFmtId="0" fontId="1" fillId="0" borderId="24" xfId="0" applyFont="1" applyBorder="1"/>
    <xf numFmtId="49" fontId="36" fillId="3" borderId="22" xfId="0" applyNumberFormat="1" applyFont="1" applyFill="1"/>
    <xf numFmtId="0" fontId="36" fillId="0" borderId="22" xfId="0" applyFont="1"/>
    <xf numFmtId="0" fontId="36" fillId="3" borderId="22" xfId="0" applyFont="1" applyFill="1"/>
    <xf numFmtId="10" fontId="36" fillId="0" borderId="22" xfId="0" applyNumberFormat="1" applyFont="1"/>
    <xf numFmtId="10" fontId="36" fillId="0" borderId="22" xfId="1" applyNumberFormat="1" applyFont="1"/>
    <xf numFmtId="173" fontId="36" fillId="0" borderId="22" xfId="1" applyNumberFormat="1" applyFont="1"/>
    <xf numFmtId="10" fontId="36" fillId="3" borderId="22" xfId="0" applyNumberFormat="1" applyFont="1" applyFill="1"/>
    <xf numFmtId="0" fontId="4" fillId="0" borderId="22" xfId="0" applyFont="1" applyAlignment="1">
      <alignment horizontal="center"/>
    </xf>
    <xf numFmtId="0" fontId="0" fillId="0" borderId="0" xfId="0" applyBorder="1"/>
    <xf numFmtId="0" fontId="2" fillId="2" borderId="22" xfId="0" applyFont="1" applyFill="1" applyAlignment="1">
      <alignment horizontal="center" vertical="center"/>
    </xf>
    <xf numFmtId="0" fontId="3" fillId="2" borderId="22" xfId="0" applyFont="1" applyFill="1" applyAlignment="1">
      <alignment horizontal="center" vertical="center"/>
    </xf>
    <xf numFmtId="0" fontId="8" fillId="4" borderId="12" xfId="0" applyFont="1" applyFill="1" applyBorder="1"/>
    <xf numFmtId="0" fontId="0" fillId="0" borderId="10" xfId="0" applyBorder="1"/>
    <xf numFmtId="0" fontId="0" fillId="0" borderId="11" xfId="0" applyBorder="1"/>
    <xf numFmtId="0" fontId="8" fillId="4" borderId="13" xfId="0" applyFont="1" applyFill="1" applyBorder="1"/>
    <xf numFmtId="0" fontId="0" fillId="0" borderId="7" xfId="0" applyBorder="1"/>
    <xf numFmtId="0" fontId="0" fillId="0" borderId="2" xfId="0" applyBorder="1"/>
    <xf numFmtId="0" fontId="5" fillId="3" borderId="22" xfId="0" applyFont="1" applyFill="1" applyAlignment="1">
      <alignment horizontal="center"/>
    </xf>
    <xf numFmtId="0" fontId="8" fillId="0" borderId="22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G9"/>
  <sheetViews>
    <sheetView showGridLines="0" workbookViewId="0">
      <selection activeCell="A7" sqref="A7:G7"/>
    </sheetView>
  </sheetViews>
  <sheetFormatPr defaultColWidth="12.54296875" defaultRowHeight="15.75" customHeight="1"/>
  <sheetData>
    <row r="4" spans="1:7" ht="13.4" customHeight="1">
      <c r="A4" s="1">
        <f ca="1">TODAY()</f>
        <v>45776</v>
      </c>
    </row>
    <row r="6" spans="1:7" ht="20.45" customHeight="1">
      <c r="A6" s="214" t="s">
        <v>0</v>
      </c>
      <c r="B6" s="213"/>
      <c r="C6" s="213"/>
      <c r="D6" s="213"/>
      <c r="E6" s="213"/>
      <c r="F6" s="213"/>
      <c r="G6" s="213"/>
    </row>
    <row r="7" spans="1:7" ht="51.75" customHeight="1">
      <c r="A7" s="215" t="s">
        <v>1</v>
      </c>
      <c r="B7" s="213"/>
      <c r="C7" s="213"/>
      <c r="D7" s="213"/>
      <c r="E7" s="213"/>
      <c r="F7" s="213"/>
      <c r="G7" s="213"/>
    </row>
    <row r="8" spans="1:7" ht="18" customHeight="1">
      <c r="A8" s="212" t="s">
        <v>2</v>
      </c>
      <c r="B8" s="213"/>
      <c r="C8" s="213"/>
      <c r="D8" s="213"/>
      <c r="E8" s="213"/>
      <c r="F8" s="213"/>
      <c r="G8" s="213"/>
    </row>
    <row r="9" spans="1:7" ht="18" customHeight="1">
      <c r="A9" s="212" t="s">
        <v>3</v>
      </c>
      <c r="B9" s="213"/>
      <c r="C9" s="213"/>
      <c r="D9" s="213"/>
      <c r="E9" s="213"/>
      <c r="F9" s="213"/>
      <c r="G9" s="213"/>
    </row>
  </sheetData>
  <mergeCells count="4">
    <mergeCell ref="A8:G8"/>
    <mergeCell ref="A6:G6"/>
    <mergeCell ref="A7:G7"/>
    <mergeCell ref="A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74"/>
  <sheetViews>
    <sheetView showGridLines="0" workbookViewId="0">
      <selection activeCell="C11" sqref="C11"/>
    </sheetView>
  </sheetViews>
  <sheetFormatPr defaultColWidth="12.54296875" defaultRowHeight="15.75" customHeight="1"/>
  <cols>
    <col min="1" max="1" width="11.40625" customWidth="1"/>
    <col min="2" max="2" width="36.40625" customWidth="1"/>
    <col min="3" max="3" width="24.86328125" customWidth="1"/>
    <col min="4" max="4" width="28.40625" customWidth="1"/>
    <col min="5" max="5" width="18.40625" customWidth="1"/>
    <col min="6" max="6" width="16.54296875" customWidth="1"/>
    <col min="8" max="8" width="33.40625" customWidth="1"/>
    <col min="9" max="9" width="17.40625" customWidth="1"/>
  </cols>
  <sheetData>
    <row r="1" spans="1:28" ht="15.75" customHeight="1">
      <c r="A1" s="222" t="s">
        <v>4</v>
      </c>
      <c r="B1" s="213"/>
      <c r="C1" s="213"/>
      <c r="D1" s="213"/>
      <c r="E1" s="21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3.4" customHeight="1">
      <c r="A2" s="5"/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3.4" customHeight="1">
      <c r="A3" s="4"/>
      <c r="B3" s="219" t="s">
        <v>5</v>
      </c>
      <c r="C3" s="22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3.4" customHeight="1">
      <c r="A4" s="4"/>
      <c r="B4" s="8" t="s">
        <v>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.4" customHeight="1">
      <c r="A5" s="4"/>
      <c r="B5" s="10" t="s">
        <v>7</v>
      </c>
      <c r="C5" s="185">
        <v>10000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3.4" customHeight="1">
      <c r="A6" s="4"/>
      <c r="B6" s="10" t="s">
        <v>8</v>
      </c>
      <c r="C6" s="185">
        <v>1000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3.4" customHeight="1">
      <c r="A7" s="4"/>
      <c r="B7" s="10" t="s">
        <v>9</v>
      </c>
      <c r="C7" s="185">
        <v>0.02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3.4" customHeight="1">
      <c r="A8" s="4"/>
      <c r="B8" s="8" t="s">
        <v>10</v>
      </c>
      <c r="C8" s="1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3.4" customHeight="1">
      <c r="A9" s="4"/>
      <c r="B9" s="10" t="s">
        <v>7</v>
      </c>
      <c r="C9" s="185">
        <v>5000</v>
      </c>
      <c r="D9" s="4"/>
      <c r="E9" s="4"/>
      <c r="F9" s="4"/>
      <c r="G9" s="4"/>
      <c r="H9" s="4" t="s">
        <v>11</v>
      </c>
      <c r="I9" s="4"/>
      <c r="J9" s="4"/>
      <c r="K9" s="4"/>
      <c r="L9" s="4"/>
      <c r="M9" s="4"/>
      <c r="N9" s="4"/>
      <c r="O9" s="4"/>
      <c r="P9" s="4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3.4" customHeight="1">
      <c r="A10" s="4"/>
      <c r="B10" s="10" t="s">
        <v>8</v>
      </c>
      <c r="C10" s="185">
        <v>100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3.4" customHeight="1">
      <c r="A11" s="4"/>
      <c r="B11" s="10" t="s">
        <v>9</v>
      </c>
      <c r="C11" s="185">
        <v>0.02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3.4" customHeight="1">
      <c r="A12" s="4"/>
      <c r="B12" s="8" t="s">
        <v>12</v>
      </c>
      <c r="C12" s="1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3.4" customHeight="1">
      <c r="A13" s="4"/>
      <c r="B13" s="10" t="s">
        <v>7</v>
      </c>
      <c r="C13" s="185">
        <v>0.5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.4" customHeight="1">
      <c r="A14" s="4"/>
      <c r="B14" s="14" t="s">
        <v>8</v>
      </c>
      <c r="C14" s="186">
        <v>0.1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3.4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3.4" customHeight="1">
      <c r="A16" s="5"/>
      <c r="B16" s="219" t="s">
        <v>13</v>
      </c>
      <c r="C16" s="220"/>
      <c r="D16" s="220"/>
      <c r="E16" s="220"/>
      <c r="F16" s="221"/>
      <c r="G16" s="4"/>
      <c r="H16" s="4"/>
      <c r="I16" s="4"/>
      <c r="J16" s="4"/>
      <c r="K16" s="4"/>
      <c r="L16" s="4"/>
      <c r="M16" s="4"/>
      <c r="N16" s="4"/>
      <c r="O16" s="4"/>
      <c r="P16" s="4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3.4" customHeight="1">
      <c r="A17" s="4"/>
      <c r="B17" s="8" t="s">
        <v>14</v>
      </c>
      <c r="C17" s="6"/>
      <c r="D17" s="16"/>
      <c r="E17" s="4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3.4" customHeight="1">
      <c r="A18" s="4"/>
      <c r="B18" s="17" t="s">
        <v>15</v>
      </c>
      <c r="C18" s="18">
        <v>1.99</v>
      </c>
      <c r="D18" s="16"/>
      <c r="E18" s="4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3.4" customHeight="1">
      <c r="A19" s="4"/>
      <c r="B19" s="8"/>
      <c r="C19" s="6"/>
      <c r="D19" s="16"/>
      <c r="E19" s="4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3.4" customHeight="1">
      <c r="A20" s="4"/>
      <c r="B20" s="8" t="s">
        <v>16</v>
      </c>
      <c r="C20" s="6"/>
      <c r="D20" s="16"/>
      <c r="E20" s="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3.4" customHeight="1">
      <c r="A21" s="4"/>
      <c r="B21" s="19"/>
      <c r="C21" s="6" t="s">
        <v>17</v>
      </c>
      <c r="D21" s="4" t="s">
        <v>18</v>
      </c>
      <c r="E21" s="4" t="s">
        <v>19</v>
      </c>
      <c r="F21" s="9"/>
      <c r="G21" s="6"/>
      <c r="H21" s="6"/>
      <c r="I21" s="4"/>
      <c r="J21" s="4"/>
      <c r="K21" s="4"/>
      <c r="L21" s="4"/>
      <c r="M21" s="4"/>
      <c r="N21" s="4"/>
      <c r="O21" s="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3.4" customHeight="1">
      <c r="A22" s="4"/>
      <c r="B22" s="19" t="s">
        <v>20</v>
      </c>
      <c r="C22" s="18">
        <v>10.99</v>
      </c>
      <c r="D22" s="20">
        <v>0.3</v>
      </c>
      <c r="E22" s="20">
        <v>0.1</v>
      </c>
      <c r="F22" s="13"/>
      <c r="G22" s="6"/>
      <c r="H22" s="6"/>
      <c r="I22" s="4"/>
      <c r="J22" s="4"/>
      <c r="K22" s="4"/>
      <c r="L22" s="4"/>
      <c r="M22" s="4"/>
      <c r="N22" s="4"/>
      <c r="O22" s="4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3.4" customHeight="1">
      <c r="A23" s="4"/>
      <c r="B23" s="19" t="s">
        <v>21</v>
      </c>
      <c r="C23" s="18">
        <v>8.33</v>
      </c>
      <c r="D23" s="20">
        <v>0.3</v>
      </c>
      <c r="E23" s="20">
        <v>0.1</v>
      </c>
      <c r="F23" s="13"/>
      <c r="G23" s="6"/>
      <c r="H23" s="6"/>
      <c r="I23" s="4"/>
      <c r="J23" s="4"/>
      <c r="K23" s="4"/>
      <c r="L23" s="4"/>
      <c r="M23" s="4"/>
      <c r="N23" s="4"/>
      <c r="O23" s="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3.4" customHeight="1">
      <c r="A24" s="4"/>
      <c r="B24" s="19" t="s">
        <v>22</v>
      </c>
      <c r="C24" s="18">
        <v>10.99</v>
      </c>
      <c r="D24" s="16">
        <v>0</v>
      </c>
      <c r="E24" s="4">
        <v>0</v>
      </c>
      <c r="F24" s="13"/>
      <c r="G24" s="6"/>
      <c r="H24" s="6"/>
      <c r="I24" s="4"/>
      <c r="J24" s="4"/>
      <c r="K24" s="4"/>
      <c r="L24" s="4"/>
      <c r="M24" s="4"/>
      <c r="N24" s="4"/>
      <c r="O24" s="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4" customHeight="1">
      <c r="A25" s="4"/>
      <c r="B25" s="19"/>
      <c r="C25" s="6"/>
      <c r="D25" s="6"/>
      <c r="E25" s="6"/>
      <c r="F25" s="9"/>
      <c r="G25" s="6"/>
      <c r="H25" s="6"/>
      <c r="I25" s="4"/>
      <c r="J25" s="4"/>
      <c r="K25" s="4"/>
      <c r="L25" s="4"/>
      <c r="M25" s="4"/>
      <c r="N25" s="4"/>
      <c r="O25" s="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4" customHeight="1">
      <c r="A26" s="4"/>
      <c r="B26" s="21" t="s">
        <v>23</v>
      </c>
      <c r="C26" s="6"/>
      <c r="D26" s="6"/>
      <c r="E26" s="6"/>
      <c r="F26" s="9"/>
      <c r="G26" s="6"/>
      <c r="H26" s="6"/>
      <c r="I26" s="4"/>
      <c r="J26" s="4"/>
      <c r="K26" s="4"/>
      <c r="L26" s="4"/>
      <c r="M26" s="4"/>
      <c r="N26" s="4"/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4" customHeight="1">
      <c r="A27" s="4"/>
      <c r="B27" s="17"/>
      <c r="C27" s="6" t="s">
        <v>24</v>
      </c>
      <c r="D27" s="4" t="s">
        <v>18</v>
      </c>
      <c r="E27" s="4" t="s">
        <v>19</v>
      </c>
      <c r="F27" s="9" t="s">
        <v>25</v>
      </c>
      <c r="G27" s="4"/>
      <c r="H27" s="22"/>
      <c r="I27" s="6"/>
      <c r="J27" s="4"/>
      <c r="K27" s="4"/>
      <c r="L27" s="4"/>
      <c r="M27" s="4"/>
      <c r="N27" s="4"/>
      <c r="O27" s="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4" customHeight="1">
      <c r="A28" s="4"/>
      <c r="B28" s="19" t="s">
        <v>26</v>
      </c>
      <c r="C28" s="18">
        <v>4.99</v>
      </c>
      <c r="D28" s="20">
        <v>0.4</v>
      </c>
      <c r="E28" s="20">
        <v>0.1</v>
      </c>
      <c r="F28" s="11">
        <v>1.5</v>
      </c>
      <c r="G28" s="4"/>
      <c r="H28" s="4"/>
      <c r="I28" s="4"/>
      <c r="J28" s="4"/>
      <c r="K28" s="4"/>
      <c r="L28" s="4"/>
      <c r="M28" s="4"/>
      <c r="N28" s="4"/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4" customHeight="1">
      <c r="A29" s="4"/>
      <c r="B29" s="19" t="s">
        <v>27</v>
      </c>
      <c r="C29" s="18">
        <v>9.9</v>
      </c>
      <c r="D29" s="20">
        <v>0.3</v>
      </c>
      <c r="E29" s="20">
        <v>0.1</v>
      </c>
      <c r="F29" s="11">
        <v>1</v>
      </c>
      <c r="G29" s="4"/>
      <c r="H29" s="4"/>
      <c r="I29" s="4"/>
      <c r="J29" s="4"/>
      <c r="K29" s="4"/>
      <c r="L29" s="4"/>
      <c r="M29" s="4"/>
      <c r="N29" s="4"/>
      <c r="O29" s="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4" customHeight="1">
      <c r="A30" s="4"/>
      <c r="B30" s="23" t="s">
        <v>28</v>
      </c>
      <c r="C30" s="18">
        <v>19.989999999999998</v>
      </c>
      <c r="D30" s="20">
        <v>0.2</v>
      </c>
      <c r="E30" s="20">
        <v>0.1</v>
      </c>
      <c r="F30" s="11">
        <v>2</v>
      </c>
      <c r="G30" s="4"/>
      <c r="H30" s="4"/>
      <c r="I30" s="4"/>
      <c r="J30" s="4"/>
      <c r="K30" s="4"/>
      <c r="L30" s="4"/>
      <c r="M30" s="4"/>
      <c r="N30" s="4"/>
      <c r="O30" s="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4" customHeight="1">
      <c r="A31" s="4"/>
      <c r="B31" s="17" t="s">
        <v>29</v>
      </c>
      <c r="C31" s="18">
        <v>29.99</v>
      </c>
      <c r="D31" s="20">
        <v>0.1</v>
      </c>
      <c r="E31" s="20">
        <v>0.1</v>
      </c>
      <c r="F31" s="11">
        <v>1</v>
      </c>
      <c r="G31" s="4"/>
      <c r="H31" s="4"/>
      <c r="I31" s="4"/>
      <c r="J31" s="4"/>
      <c r="K31" s="4"/>
      <c r="L31" s="4"/>
      <c r="M31" s="4"/>
      <c r="N31" s="4"/>
      <c r="O31" s="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4" customHeight="1">
      <c r="A32" s="4"/>
      <c r="B32" s="19"/>
      <c r="C32" s="6"/>
      <c r="D32" s="6"/>
      <c r="E32" s="6"/>
      <c r="F32" s="9"/>
      <c r="G32" s="6"/>
      <c r="H32" s="6"/>
      <c r="I32" s="4"/>
      <c r="J32" s="4"/>
      <c r="K32" s="4"/>
      <c r="L32" s="4"/>
      <c r="M32" s="4"/>
      <c r="N32" s="4"/>
      <c r="O32" s="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4" customHeight="1">
      <c r="A33" s="4"/>
      <c r="B33" s="24" t="s">
        <v>30</v>
      </c>
      <c r="C33" s="4"/>
      <c r="D33" s="4"/>
      <c r="E33" s="4"/>
      <c r="F33" s="9"/>
      <c r="G33" s="6"/>
      <c r="H33" s="6"/>
      <c r="I33" s="4"/>
      <c r="J33" s="4"/>
      <c r="K33" s="4"/>
      <c r="L33" s="4"/>
      <c r="M33" s="4"/>
      <c r="N33" s="4"/>
      <c r="O33" s="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4" customHeight="1">
      <c r="A34" s="4"/>
      <c r="B34" s="25" t="s">
        <v>31</v>
      </c>
      <c r="C34" s="4"/>
      <c r="D34" s="4" t="s">
        <v>32</v>
      </c>
      <c r="E34" s="4" t="s">
        <v>33</v>
      </c>
      <c r="F34" s="9"/>
      <c r="G34" s="6"/>
      <c r="H34" s="6"/>
      <c r="I34" s="4"/>
      <c r="J34" s="4"/>
      <c r="K34" s="4"/>
      <c r="L34" s="4"/>
      <c r="M34" s="4"/>
      <c r="N34" s="4"/>
      <c r="O34" s="4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4" customHeight="1">
      <c r="A35" s="4"/>
      <c r="B35" s="17" t="s">
        <v>7</v>
      </c>
      <c r="C35" s="26">
        <v>10000</v>
      </c>
      <c r="D35" s="20">
        <v>0.2</v>
      </c>
      <c r="E35" s="20">
        <v>0.1</v>
      </c>
      <c r="F35" s="13"/>
      <c r="G35" s="6"/>
      <c r="H35" s="6"/>
      <c r="I35" s="4"/>
      <c r="J35" s="4"/>
      <c r="K35" s="4"/>
      <c r="L35" s="4"/>
      <c r="M35" s="4"/>
      <c r="N35" s="4"/>
      <c r="O35" s="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4" customHeight="1">
      <c r="A36" s="4"/>
      <c r="B36" s="17" t="s">
        <v>8</v>
      </c>
      <c r="C36" s="26">
        <v>1000</v>
      </c>
      <c r="D36" s="4"/>
      <c r="E36" s="4"/>
      <c r="F36" s="13"/>
      <c r="G36" s="16"/>
      <c r="H36" s="6"/>
      <c r="I36" s="4"/>
      <c r="J36" s="4"/>
      <c r="K36" s="4"/>
      <c r="L36" s="4"/>
      <c r="M36" s="4"/>
      <c r="N36" s="4"/>
      <c r="O36" s="4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4" customHeight="1">
      <c r="A37" s="4"/>
      <c r="B37" s="25" t="s">
        <v>34</v>
      </c>
      <c r="C37" s="4"/>
      <c r="D37" s="4"/>
      <c r="E37" s="4"/>
      <c r="F37" s="13"/>
      <c r="G37" s="27"/>
      <c r="H37" s="6"/>
      <c r="I37" s="4"/>
      <c r="J37" s="4"/>
      <c r="K37" s="4"/>
      <c r="L37" s="4"/>
      <c r="M37" s="4"/>
      <c r="N37" s="4"/>
      <c r="O37" s="4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4" customHeight="1">
      <c r="A38" s="4"/>
      <c r="B38" s="17" t="s">
        <v>7</v>
      </c>
      <c r="C38" s="20">
        <v>0.25</v>
      </c>
      <c r="D38" s="28"/>
      <c r="E38" s="28"/>
      <c r="F38" s="13"/>
      <c r="G38" s="6"/>
      <c r="H38" s="6"/>
      <c r="I38" s="4"/>
      <c r="J38" s="4"/>
      <c r="K38" s="4"/>
      <c r="L38" s="4"/>
      <c r="M38" s="4"/>
      <c r="N38" s="4"/>
      <c r="O38" s="4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4" customHeight="1">
      <c r="A39" s="4"/>
      <c r="B39" s="17" t="s">
        <v>8</v>
      </c>
      <c r="C39" s="29">
        <v>5.0000000000000001E-3</v>
      </c>
      <c r="D39" s="4"/>
      <c r="E39" s="4"/>
      <c r="F39" s="13"/>
      <c r="G39" s="6"/>
      <c r="H39" s="6"/>
      <c r="I39" s="4"/>
      <c r="J39" s="4"/>
      <c r="K39" s="4"/>
      <c r="L39" s="4"/>
      <c r="M39" s="4"/>
      <c r="N39" s="4"/>
      <c r="O39" s="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4" customHeight="1">
      <c r="A40" s="4"/>
      <c r="B40" s="30" t="s">
        <v>35</v>
      </c>
      <c r="C40" s="18">
        <v>0.7</v>
      </c>
      <c r="D40" s="28"/>
      <c r="E40" s="28"/>
      <c r="F40" s="9"/>
      <c r="G40" s="6"/>
      <c r="H40" s="6"/>
      <c r="I40" s="4"/>
      <c r="J40" s="4"/>
      <c r="K40" s="4"/>
      <c r="L40" s="4"/>
      <c r="M40" s="4"/>
      <c r="N40" s="4"/>
      <c r="O40" s="4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4" customHeight="1">
      <c r="A41" s="4"/>
      <c r="B41" s="19"/>
      <c r="C41" s="31"/>
      <c r="D41" s="4"/>
      <c r="E41" s="4"/>
      <c r="F41" s="9"/>
      <c r="G41" s="6"/>
      <c r="H41" s="6"/>
      <c r="I41" s="4"/>
      <c r="J41" s="4"/>
      <c r="K41" s="4"/>
      <c r="L41" s="4"/>
      <c r="M41" s="4"/>
      <c r="N41" s="4"/>
      <c r="O41" s="4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4" customHeight="1">
      <c r="A42" s="4"/>
      <c r="B42" s="21" t="s">
        <v>36</v>
      </c>
      <c r="C42" s="4"/>
      <c r="D42" s="4"/>
      <c r="E42" s="4"/>
      <c r="F42" s="9"/>
      <c r="G42" s="6"/>
      <c r="H42" s="6"/>
      <c r="I42" s="4"/>
      <c r="J42" s="4"/>
      <c r="K42" s="4"/>
      <c r="L42" s="4"/>
      <c r="M42" s="4"/>
      <c r="N42" s="4"/>
      <c r="O42" s="4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4" customHeight="1">
      <c r="A43" s="4"/>
      <c r="B43" s="8" t="s">
        <v>37</v>
      </c>
      <c r="C43" s="4" t="s">
        <v>38</v>
      </c>
      <c r="D43" s="4"/>
      <c r="E43" s="4"/>
      <c r="F43" s="9"/>
      <c r="G43" s="6"/>
      <c r="H43" s="6"/>
      <c r="I43" s="4"/>
      <c r="J43" s="4"/>
      <c r="K43" s="4"/>
      <c r="L43" s="4"/>
      <c r="M43" s="4"/>
      <c r="N43" s="4"/>
      <c r="O43" s="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4" customHeight="1">
      <c r="A44" s="4"/>
      <c r="B44" s="32" t="s">
        <v>7</v>
      </c>
      <c r="C44" s="33">
        <v>100</v>
      </c>
      <c r="D44" s="4"/>
      <c r="E44" s="4"/>
      <c r="F44" s="9"/>
      <c r="G44" s="6"/>
      <c r="H44" s="6"/>
      <c r="I44" s="4"/>
      <c r="J44" s="4"/>
      <c r="K44" s="4"/>
      <c r="L44" s="4"/>
      <c r="M44" s="4"/>
      <c r="N44" s="4"/>
      <c r="O44" s="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4" customHeight="1">
      <c r="A45" s="4"/>
      <c r="B45" s="32" t="s">
        <v>8</v>
      </c>
      <c r="C45" s="20">
        <v>0.1</v>
      </c>
      <c r="D45" s="4"/>
      <c r="E45" s="4"/>
      <c r="F45" s="9"/>
      <c r="G45" s="6"/>
      <c r="H45" s="6"/>
      <c r="I45" s="4"/>
      <c r="J45" s="4"/>
      <c r="K45" s="4"/>
      <c r="L45" s="4"/>
      <c r="M45" s="4"/>
      <c r="N45" s="4"/>
      <c r="O45" s="4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4" customHeight="1">
      <c r="A46" s="4"/>
      <c r="B46" s="32" t="s">
        <v>9</v>
      </c>
      <c r="C46" s="20">
        <v>0.05</v>
      </c>
      <c r="D46" s="4"/>
      <c r="E46" s="4"/>
      <c r="F46" s="9"/>
      <c r="G46" s="6"/>
      <c r="H46" s="6"/>
      <c r="I46" s="4"/>
      <c r="J46" s="4"/>
      <c r="K46" s="4"/>
      <c r="L46" s="4"/>
      <c r="M46" s="4"/>
      <c r="N46" s="4"/>
      <c r="O46" s="4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4" customHeight="1">
      <c r="A47" s="4"/>
      <c r="B47" s="17" t="s">
        <v>39</v>
      </c>
      <c r="C47" s="18">
        <v>100</v>
      </c>
      <c r="D47" s="4"/>
      <c r="E47" s="4"/>
      <c r="F47" s="9"/>
      <c r="G47" s="6"/>
      <c r="H47" s="6"/>
      <c r="I47" s="4"/>
      <c r="J47" s="4"/>
      <c r="K47" s="4"/>
      <c r="L47" s="4"/>
      <c r="M47" s="4"/>
      <c r="N47" s="4"/>
      <c r="O47" s="4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4" customHeight="1">
      <c r="A48" s="4"/>
      <c r="B48" s="17"/>
      <c r="C48" s="4"/>
      <c r="D48" s="4"/>
      <c r="E48" s="4"/>
      <c r="F48" s="9"/>
      <c r="G48" s="6"/>
      <c r="H48" s="6"/>
      <c r="I48" s="4"/>
      <c r="J48" s="4"/>
      <c r="K48" s="4"/>
      <c r="L48" s="4"/>
      <c r="M48" s="4"/>
      <c r="N48" s="4"/>
      <c r="O48" s="4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4" customHeight="1">
      <c r="A49" s="4"/>
      <c r="B49" s="8"/>
      <c r="C49" s="4" t="s">
        <v>40</v>
      </c>
      <c r="D49" s="4"/>
      <c r="E49" s="4"/>
      <c r="F49" s="9"/>
      <c r="G49" s="6"/>
      <c r="H49" s="6"/>
      <c r="I49" s="4"/>
      <c r="J49" s="4"/>
      <c r="K49" s="4"/>
      <c r="L49" s="4"/>
      <c r="M49" s="4"/>
      <c r="N49" s="4"/>
      <c r="O49" s="4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4" customHeight="1">
      <c r="A50" s="4"/>
      <c r="B50" s="8" t="s">
        <v>41</v>
      </c>
      <c r="C50" s="20">
        <v>0.2</v>
      </c>
      <c r="D50" s="4" t="s">
        <v>42</v>
      </c>
      <c r="E50" s="4"/>
      <c r="F50" s="9"/>
      <c r="G50" s="6"/>
      <c r="H50" s="6"/>
      <c r="I50" s="4"/>
      <c r="J50" s="4"/>
      <c r="K50" s="4"/>
      <c r="L50" s="4"/>
      <c r="M50" s="4"/>
      <c r="N50" s="4"/>
      <c r="O50" s="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4" customHeight="1">
      <c r="A51" s="6"/>
      <c r="B51" s="34"/>
      <c r="C51" s="35"/>
      <c r="D51" s="35"/>
      <c r="E51" s="36"/>
      <c r="F51" s="37"/>
      <c r="G51" s="6"/>
      <c r="H51" s="6"/>
      <c r="I51" s="4"/>
      <c r="J51" s="4"/>
      <c r="K51" s="4"/>
      <c r="L51" s="4"/>
      <c r="M51" s="4"/>
      <c r="N51" s="4"/>
      <c r="O51" s="4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4" customHeight="1">
      <c r="A52" s="6"/>
      <c r="B52" s="4"/>
      <c r="C52" s="4"/>
      <c r="D52" s="4"/>
      <c r="E52" s="6"/>
      <c r="F52" s="6"/>
      <c r="G52" s="6"/>
      <c r="H52" s="6"/>
      <c r="I52" s="4"/>
      <c r="J52" s="4"/>
      <c r="K52" s="4"/>
      <c r="L52" s="4"/>
      <c r="M52" s="4"/>
      <c r="N52" s="4"/>
      <c r="O52" s="4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4" customHeight="1">
      <c r="A53" s="4"/>
      <c r="B53" s="216" t="s">
        <v>43</v>
      </c>
      <c r="C53" s="217"/>
      <c r="D53" s="2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3.4" customHeight="1">
      <c r="A54" s="4"/>
      <c r="B54" s="17"/>
      <c r="C54" s="4" t="s">
        <v>44</v>
      </c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3.4" customHeight="1">
      <c r="A55" s="4"/>
      <c r="B55" s="8" t="s">
        <v>45</v>
      </c>
      <c r="C55" s="20">
        <v>0.03</v>
      </c>
      <c r="D55" s="3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3.4" customHeight="1">
      <c r="A56" s="4"/>
      <c r="B56" s="8" t="s">
        <v>46</v>
      </c>
      <c r="C56" s="20">
        <v>0.15</v>
      </c>
      <c r="D56" s="3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3.4" customHeight="1">
      <c r="A57" s="4"/>
      <c r="B57" s="8" t="s">
        <v>47</v>
      </c>
      <c r="C57" s="28"/>
      <c r="D57" s="3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3.4" customHeight="1">
      <c r="A58" s="5"/>
      <c r="B58" s="10" t="s">
        <v>48</v>
      </c>
      <c r="C58" s="26">
        <v>500</v>
      </c>
      <c r="D58" s="3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3.4" customHeight="1">
      <c r="A59" s="5"/>
      <c r="B59" s="10" t="s">
        <v>49</v>
      </c>
      <c r="C59" s="39">
        <v>2000</v>
      </c>
      <c r="D59" s="3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3.4" customHeight="1">
      <c r="A60" s="5"/>
      <c r="B60" s="8" t="s">
        <v>50</v>
      </c>
      <c r="C60" s="20">
        <v>0.01</v>
      </c>
      <c r="D60" s="3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3.4" customHeight="1">
      <c r="A61" s="5"/>
      <c r="B61" s="8" t="s">
        <v>51</v>
      </c>
      <c r="C61" s="20">
        <v>0.3</v>
      </c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3.4" customHeight="1">
      <c r="A62" s="40"/>
      <c r="B62" s="21" t="s">
        <v>52</v>
      </c>
      <c r="C62" s="6" t="s">
        <v>53</v>
      </c>
      <c r="D62" s="9" t="s">
        <v>54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3.4" customHeight="1">
      <c r="A63" s="40"/>
      <c r="B63" s="10" t="s">
        <v>55</v>
      </c>
      <c r="C63" s="20">
        <v>0.1</v>
      </c>
      <c r="D63" s="41">
        <v>1.4999999999999999E-2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3.4" customHeight="1">
      <c r="A64" s="5"/>
      <c r="B64" s="10" t="s">
        <v>56</v>
      </c>
      <c r="C64" s="20">
        <v>0.2</v>
      </c>
      <c r="D64" s="41">
        <v>3.49E-2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3.4" customHeight="1">
      <c r="A65" s="40"/>
      <c r="B65" s="10" t="s">
        <v>57</v>
      </c>
      <c r="C65" s="20">
        <v>0.1</v>
      </c>
      <c r="D65" s="41">
        <v>2.9000000000000001E-2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3.4" customHeight="1">
      <c r="A66" s="5"/>
      <c r="B66" s="10" t="s">
        <v>58</v>
      </c>
      <c r="C66" s="20">
        <v>0.05</v>
      </c>
      <c r="D66" s="41">
        <v>2.9000000000000001E-2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3.4" customHeight="1">
      <c r="A67" s="40"/>
      <c r="B67" s="42" t="s">
        <v>59</v>
      </c>
      <c r="C67" s="43">
        <v>1</v>
      </c>
      <c r="D67" s="44">
        <f>SUMPRODUCT(C63:C66,D63:D66)</f>
        <v>1.2829999999999999E-2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3.4" customHeight="1">
      <c r="A68" s="4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3.4" customHeight="1">
      <c r="A69" s="40"/>
      <c r="B69" s="7" t="s">
        <v>60</v>
      </c>
      <c r="C69" s="45"/>
      <c r="D69" s="1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3.4" customHeight="1">
      <c r="A70" s="5"/>
      <c r="B70" s="21" t="s">
        <v>61</v>
      </c>
      <c r="C70" s="188">
        <v>650</v>
      </c>
      <c r="D70" s="46" t="s">
        <v>62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3.4" customHeight="1">
      <c r="A71" s="40"/>
      <c r="B71" s="21" t="s">
        <v>63</v>
      </c>
      <c r="C71" s="187">
        <v>0.05</v>
      </c>
      <c r="D71" s="17" t="s">
        <v>64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3.4" customHeight="1">
      <c r="A72" s="40"/>
      <c r="B72" s="10" t="s">
        <v>65</v>
      </c>
      <c r="C72" s="188">
        <v>10000</v>
      </c>
      <c r="D72" s="46" t="s">
        <v>66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3.4" customHeight="1">
      <c r="A73" s="40"/>
      <c r="B73" s="10" t="s">
        <v>67</v>
      </c>
      <c r="C73" s="187">
        <v>0.02</v>
      </c>
      <c r="D73" s="17" t="s">
        <v>68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3.4" customHeight="1">
      <c r="A74" s="40"/>
      <c r="B74" s="21" t="s">
        <v>69</v>
      </c>
      <c r="C74" s="4"/>
      <c r="D74" s="1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3.4" customHeight="1">
      <c r="A75" s="5"/>
      <c r="B75" s="10" t="s">
        <v>70</v>
      </c>
      <c r="C75" s="188">
        <v>5000</v>
      </c>
      <c r="D75" s="46" t="s">
        <v>71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3.4" customHeight="1">
      <c r="A76" s="40"/>
      <c r="B76" s="10" t="s">
        <v>72</v>
      </c>
      <c r="C76" s="187">
        <v>1</v>
      </c>
      <c r="D76" s="46" t="s">
        <v>71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3.4" customHeight="1">
      <c r="A77" s="5"/>
      <c r="B77" s="8" t="s">
        <v>73</v>
      </c>
      <c r="C77" s="187">
        <v>0.1</v>
      </c>
      <c r="D77" s="17" t="s">
        <v>64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3.4" customHeight="1">
      <c r="A78" s="4"/>
      <c r="B78" s="47" t="s">
        <v>74</v>
      </c>
      <c r="C78" s="189">
        <v>0.01</v>
      </c>
      <c r="D78" s="17" t="s">
        <v>64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3.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3.4" customHeight="1">
      <c r="A80" s="4"/>
      <c r="B80" s="216" t="s">
        <v>75</v>
      </c>
      <c r="C80" s="217"/>
      <c r="D80" s="218"/>
      <c r="E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3.4" customHeight="1">
      <c r="A81" s="4"/>
      <c r="B81" s="34" t="s">
        <v>76</v>
      </c>
      <c r="C81" s="35" t="s">
        <v>77</v>
      </c>
      <c r="D81" s="48"/>
      <c r="E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3.4" customHeight="1">
      <c r="A82" s="4"/>
      <c r="B82" s="49" t="s">
        <v>78</v>
      </c>
      <c r="C82" s="50" t="s">
        <v>79</v>
      </c>
      <c r="D82" s="51" t="s">
        <v>80</v>
      </c>
      <c r="E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3.4" customHeight="1">
      <c r="A83" s="4"/>
      <c r="B83" s="8" t="s">
        <v>81</v>
      </c>
      <c r="C83" s="4"/>
      <c r="D83" s="13"/>
      <c r="E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3.4" customHeight="1">
      <c r="A84" s="4"/>
      <c r="B84" s="10" t="s">
        <v>82</v>
      </c>
      <c r="C84" s="26">
        <v>60</v>
      </c>
      <c r="D84" s="12">
        <v>0.03</v>
      </c>
      <c r="E84" s="4" t="s">
        <v>83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3.4" customHeight="1">
      <c r="A85" s="4"/>
      <c r="B85" s="10" t="s">
        <v>84</v>
      </c>
      <c r="C85" s="26">
        <v>60</v>
      </c>
      <c r="D85" s="12">
        <v>0.01</v>
      </c>
      <c r="E85" s="4" t="s">
        <v>83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3.4" customHeight="1">
      <c r="A86" s="4"/>
      <c r="B86" s="8" t="s">
        <v>85</v>
      </c>
      <c r="C86" s="4"/>
      <c r="D86" s="13"/>
      <c r="E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3.4" customHeight="1">
      <c r="A87" s="4"/>
      <c r="B87" s="10" t="s">
        <v>86</v>
      </c>
      <c r="C87" s="26">
        <v>120</v>
      </c>
      <c r="D87" s="12">
        <v>0.02</v>
      </c>
      <c r="E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3.4" customHeight="1">
      <c r="A88" s="4"/>
      <c r="B88" s="10" t="s">
        <v>87</v>
      </c>
      <c r="C88" s="26">
        <v>60</v>
      </c>
      <c r="D88" s="12">
        <v>0.01</v>
      </c>
      <c r="E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3.4" customHeight="1">
      <c r="A89" s="4"/>
      <c r="B89" s="8" t="s">
        <v>88</v>
      </c>
      <c r="C89" s="4"/>
      <c r="D89" s="13"/>
      <c r="E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3.4" customHeight="1">
      <c r="A90" s="4"/>
      <c r="B90" s="10" t="s">
        <v>89</v>
      </c>
      <c r="C90" s="26">
        <v>60</v>
      </c>
      <c r="D90" s="12">
        <v>0.01</v>
      </c>
      <c r="E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3.4" customHeight="1">
      <c r="A91" s="4"/>
      <c r="B91" s="10" t="s">
        <v>90</v>
      </c>
      <c r="C91" s="26">
        <v>60</v>
      </c>
      <c r="D91" s="12">
        <v>0.02</v>
      </c>
      <c r="E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3.4" customHeight="1">
      <c r="A92" s="4"/>
      <c r="B92" s="8" t="s">
        <v>91</v>
      </c>
      <c r="C92" s="4"/>
      <c r="D92" s="13"/>
      <c r="E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3.4" customHeight="1">
      <c r="A93" s="4"/>
      <c r="B93" s="10" t="s">
        <v>92</v>
      </c>
      <c r="C93" s="26">
        <v>60</v>
      </c>
      <c r="D93" s="12">
        <v>0.05</v>
      </c>
      <c r="E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3.4" customHeight="1">
      <c r="A94" s="4"/>
      <c r="B94" s="10" t="s">
        <v>93</v>
      </c>
      <c r="C94" s="26">
        <v>60</v>
      </c>
      <c r="D94" s="12">
        <v>0.02</v>
      </c>
      <c r="E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3.4" customHeight="1">
      <c r="A95" s="4"/>
      <c r="B95" s="8" t="s">
        <v>94</v>
      </c>
      <c r="C95" s="26"/>
      <c r="D95" s="41"/>
      <c r="E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3.4" customHeight="1">
      <c r="A96" s="4"/>
      <c r="B96" s="10" t="s">
        <v>95</v>
      </c>
      <c r="C96" s="26">
        <v>240</v>
      </c>
      <c r="D96" s="41">
        <v>5.0000000000000001E-3</v>
      </c>
      <c r="E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3.4" customHeight="1">
      <c r="A97" s="4"/>
      <c r="B97" s="10" t="s">
        <v>96</v>
      </c>
      <c r="C97" s="26">
        <v>120</v>
      </c>
      <c r="D97" s="12">
        <v>0.02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3.4" customHeight="1">
      <c r="A98" s="4"/>
      <c r="B98" s="8" t="s">
        <v>97</v>
      </c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3.4" customHeight="1">
      <c r="A99" s="4"/>
      <c r="B99" s="10" t="s">
        <v>98</v>
      </c>
      <c r="C99" s="26">
        <v>60</v>
      </c>
      <c r="D99" s="12">
        <v>0.03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3.4" customHeight="1">
      <c r="A100" s="4"/>
      <c r="B100" s="8" t="s">
        <v>99</v>
      </c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3.4" customHeight="1">
      <c r="A101" s="4"/>
      <c r="B101" s="14" t="s">
        <v>100</v>
      </c>
      <c r="C101" s="52">
        <v>60</v>
      </c>
      <c r="D101" s="15">
        <v>0.02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3.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3.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3.4" customHeight="1">
      <c r="A104" s="4"/>
      <c r="B104" s="53" t="s">
        <v>101</v>
      </c>
      <c r="C104" s="54" t="s">
        <v>102</v>
      </c>
      <c r="D104" s="54" t="s">
        <v>103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3.4" customHeight="1">
      <c r="A105" s="4"/>
      <c r="B105" s="17" t="s">
        <v>104</v>
      </c>
      <c r="C105" s="55">
        <v>5000000</v>
      </c>
      <c r="D105" s="13" t="s">
        <v>105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3.4" customHeight="1">
      <c r="A106" s="4"/>
      <c r="B106" s="17" t="s">
        <v>106</v>
      </c>
      <c r="C106" s="56">
        <v>500</v>
      </c>
      <c r="D106" s="57" t="s">
        <v>107</v>
      </c>
      <c r="E106" s="54" t="s">
        <v>108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3.4" customHeight="1">
      <c r="A107" s="4"/>
      <c r="B107" s="17" t="s">
        <v>109</v>
      </c>
      <c r="C107" s="58">
        <v>0.02</v>
      </c>
      <c r="D107" s="57" t="s">
        <v>110</v>
      </c>
      <c r="E107" s="59">
        <f>2%/12</f>
        <v>1.6666666666666668E-3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3.4" customHeight="1">
      <c r="A108" s="4"/>
      <c r="B108" s="17" t="s">
        <v>111</v>
      </c>
      <c r="C108" s="58">
        <v>0.04</v>
      </c>
      <c r="D108" s="57" t="s">
        <v>112</v>
      </c>
      <c r="E108" s="60">
        <f>4%/12</f>
        <v>3.3333333333333335E-3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3.4" customHeight="1">
      <c r="A109" s="4"/>
      <c r="B109" s="17" t="s">
        <v>113</v>
      </c>
      <c r="C109" s="61">
        <v>8.5000000000000006E-2</v>
      </c>
      <c r="D109" s="57" t="s">
        <v>114</v>
      </c>
      <c r="E109" s="62">
        <f>8.5%/12</f>
        <v>7.0833333333333338E-3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3.4" customHeight="1">
      <c r="A110" s="4"/>
      <c r="B110" s="17" t="s">
        <v>115</v>
      </c>
      <c r="C110" s="58">
        <v>0.21</v>
      </c>
      <c r="D110" s="57" t="s">
        <v>116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3.4" customHeight="1">
      <c r="A111" s="4"/>
      <c r="B111" s="34" t="s">
        <v>117</v>
      </c>
      <c r="C111" s="63">
        <v>0.4</v>
      </c>
      <c r="D111" s="64" t="s">
        <v>118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3.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3.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3.4" customHeight="1">
      <c r="A114" s="4"/>
      <c r="B114" s="53" t="s">
        <v>119</v>
      </c>
      <c r="C114" s="54" t="s">
        <v>120</v>
      </c>
      <c r="D114" s="54" t="s">
        <v>103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3.4" customHeight="1">
      <c r="A115" s="4"/>
      <c r="B115" s="17" t="s">
        <v>121</v>
      </c>
      <c r="C115" s="65">
        <v>0.05</v>
      </c>
      <c r="D115" s="13" t="s">
        <v>122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3.4" customHeight="1">
      <c r="A116" s="4"/>
      <c r="B116" s="17" t="s">
        <v>123</v>
      </c>
      <c r="C116" s="61">
        <v>0.1</v>
      </c>
      <c r="D116" s="13" t="s">
        <v>122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3.4" customHeight="1">
      <c r="A117" s="4"/>
      <c r="B117" s="17" t="s">
        <v>124</v>
      </c>
      <c r="C117" s="61">
        <v>5.0000000000000001E-3</v>
      </c>
      <c r="D117" s="13" t="s">
        <v>122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3.4" customHeight="1">
      <c r="A118" s="4"/>
      <c r="B118" s="17" t="s">
        <v>125</v>
      </c>
      <c r="C118" s="61">
        <v>0.02</v>
      </c>
      <c r="D118" s="13" t="s">
        <v>122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3.4" customHeight="1">
      <c r="A119" s="4"/>
      <c r="B119" s="17" t="s">
        <v>126</v>
      </c>
      <c r="C119" s="61">
        <v>0.06</v>
      </c>
      <c r="D119" s="13" t="s">
        <v>127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3.4" customHeight="1">
      <c r="A120" s="4"/>
      <c r="B120" s="17" t="s">
        <v>128</v>
      </c>
      <c r="C120" s="61">
        <v>0.05</v>
      </c>
      <c r="D120" s="13" t="s">
        <v>127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3.4" customHeight="1">
      <c r="A121" s="4"/>
      <c r="B121" s="17" t="s">
        <v>129</v>
      </c>
      <c r="C121" s="61">
        <v>0.01</v>
      </c>
      <c r="D121" s="13" t="s">
        <v>130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3.4" customHeight="1">
      <c r="A122" s="4"/>
      <c r="B122" s="34" t="s">
        <v>131</v>
      </c>
      <c r="C122" s="66">
        <v>2.5000000000000001E-2</v>
      </c>
      <c r="D122" s="48" t="s">
        <v>132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3.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3.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3.4" customHeight="1">
      <c r="A125" s="4"/>
      <c r="B125" s="216" t="s">
        <v>133</v>
      </c>
      <c r="C125" s="2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3.4" customHeight="1">
      <c r="A126" s="4"/>
      <c r="B126" s="17" t="s">
        <v>134</v>
      </c>
      <c r="C126" s="67">
        <v>1.2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3.4" customHeight="1">
      <c r="A127" s="4"/>
      <c r="B127" s="17" t="s">
        <v>135</v>
      </c>
      <c r="C127" s="68">
        <v>4.7199999999999999E-2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3.4" customHeight="1">
      <c r="A128" s="4"/>
      <c r="B128" s="17" t="s">
        <v>136</v>
      </c>
      <c r="C128" s="69">
        <v>0.06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3.4" customHeight="1">
      <c r="A129" s="4"/>
      <c r="B129" s="17" t="s">
        <v>137</v>
      </c>
      <c r="C129" s="68">
        <v>0.11899999999999999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3.4" customHeight="1">
      <c r="A130" s="4"/>
      <c r="B130" s="17" t="s">
        <v>138</v>
      </c>
      <c r="C130" s="68">
        <v>0.04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3.4" customHeight="1">
      <c r="A131" s="4"/>
      <c r="B131" s="17"/>
      <c r="C131" s="1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3.4" customHeight="1">
      <c r="A132" s="4"/>
      <c r="B132" s="216" t="s">
        <v>139</v>
      </c>
      <c r="C132" s="218"/>
      <c r="D132" s="7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3.4" customHeight="1">
      <c r="A133" s="4"/>
      <c r="B133" s="17" t="s">
        <v>140</v>
      </c>
      <c r="C133" s="71">
        <v>10000000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3.4" customHeight="1">
      <c r="A134" s="4"/>
      <c r="B134" s="17" t="s">
        <v>141</v>
      </c>
      <c r="C134" s="71">
        <f>C105</f>
        <v>5000000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3.4" customHeight="1">
      <c r="A135" s="4"/>
      <c r="B135" s="17" t="s">
        <v>142</v>
      </c>
      <c r="C135" s="71">
        <f>SUM(C133:C134)</f>
        <v>15000000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3.4" customHeight="1">
      <c r="A136" s="4"/>
      <c r="B136" s="17" t="s">
        <v>143</v>
      </c>
      <c r="C136" s="72">
        <f>C133/C135</f>
        <v>0.66666666666666663</v>
      </c>
      <c r="D136" s="2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3.4" customHeight="1">
      <c r="A137" s="4"/>
      <c r="B137" s="17" t="s">
        <v>144</v>
      </c>
      <c r="C137" s="72">
        <f>C134/C135</f>
        <v>0.33333333333333331</v>
      </c>
      <c r="D137" s="2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3.4" customHeight="1">
      <c r="A138" s="4"/>
      <c r="B138" s="17"/>
      <c r="C138" s="7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3.4" customHeight="1">
      <c r="A139" s="4"/>
      <c r="B139" s="34" t="s">
        <v>145</v>
      </c>
      <c r="C139" s="74">
        <f>C130*C137+C129*C136</f>
        <v>9.2666666666666661E-2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3.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3.4" customHeight="1">
      <c r="A141" s="4"/>
      <c r="B141" s="216" t="s">
        <v>146</v>
      </c>
      <c r="C141" s="218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3.4" customHeight="1">
      <c r="A142" s="4"/>
      <c r="B142" s="34" t="s">
        <v>147</v>
      </c>
      <c r="C142" s="75">
        <v>0.04</v>
      </c>
      <c r="D142" s="4" t="s">
        <v>148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3.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3.4" customHeight="1">
      <c r="A144" s="4"/>
      <c r="B144" s="76" t="s">
        <v>149</v>
      </c>
      <c r="C144" s="77">
        <v>1000000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3.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3.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3.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3.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3.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3.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3.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3.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3.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3.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3.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3.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3.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3.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3.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3.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3.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3.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3.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3.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3.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3.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3.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3.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3.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3.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3.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3.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3.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3.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3.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3.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3.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3.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3.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3.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3.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3.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3.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3.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3.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3.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3.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3.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3.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3.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3.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3.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3.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3.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3.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3.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3.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3.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3.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3.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3.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3.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3.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3.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3.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3.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3.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3.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3.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3.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3.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3.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3.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3.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3.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3.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3.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3.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3.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3.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3.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3.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3.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3.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3.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3.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3.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3.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3.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3.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3.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3.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3.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3.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3.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3.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3.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3.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3.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3.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3.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3.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3.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3.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3.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3.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3.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3.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3.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3.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3.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3.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3.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3.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3.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3.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3.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3.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3.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3.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3.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3.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3.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3.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3.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3.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3.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3.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3.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3.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3.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3.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3.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3.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3.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3.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3.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3.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3.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3.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3.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3.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3.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3.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3.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3.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3.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3.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3.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3.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3.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3.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3.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3.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3.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3.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3.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3.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3.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3.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3.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3.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3.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3.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3.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3.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3.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3.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3.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3.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3.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3.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3.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3.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3.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3.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3.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3.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3.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3.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3.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3.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3.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3.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3.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3.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3.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3.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3.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3.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3.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3.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3.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3.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3.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3.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3.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3.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3.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3.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3.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3.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3.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3.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3.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3.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3.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3.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3.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3.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3.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3.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3.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3.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3.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3.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3.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3.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3.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3.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3.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3.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3.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3.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3.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3.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3.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3.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3.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3.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3.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3.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3.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3.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3.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3.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3.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3.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3.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3.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3.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3.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3.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3.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3.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3.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3.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3.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3.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3.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3.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3.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3.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3.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3.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3.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3.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3.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3.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3.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3.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3.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3.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3.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3.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3.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3.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3.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3.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3.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3.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3.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3.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3.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3.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3.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3.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3.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3.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3.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3.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3.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3.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3.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3.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3.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3.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3.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3.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3.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3.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3.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3.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3.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3.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3.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3.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3.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3.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3.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3.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3.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3.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3.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3.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3.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3.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3.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3.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3.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3.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3.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3.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3.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3.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3.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3.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3.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3.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3.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3.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3.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3.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3.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3.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3.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3.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3.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3.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3.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3.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3.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3.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3.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3.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3.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3.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3.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3.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3.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3.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3.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3.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3.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3.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3.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3.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3.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3.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3.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3.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3.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3.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3.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3.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3.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3.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3.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3.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3.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3.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3.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3.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3.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3.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3.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3.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3.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3.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3.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3.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3.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3.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3.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3.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3.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3.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3.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3.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3.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3.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3.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3.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3.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3.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3.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3.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3.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3.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3.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3.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3.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3.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3.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3.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3.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3.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3.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3.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3.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3.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3.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3.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3.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3.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3.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3.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3.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3.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3.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3.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3.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3.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3.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3.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3.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3.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3.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3.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3.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3.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3.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3.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3.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3.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3.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3.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3.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3.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3.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3.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3.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3.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3.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3.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3.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3.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3.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3.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3.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3.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3.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3.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3.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3.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3.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3.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3.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3.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3.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3.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3.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3.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3.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3.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3.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3.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3.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3.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3.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3.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3.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3.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3.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3.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3.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3.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3.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3.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3.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3.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3.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3.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3.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3.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3.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3.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3.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3.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3.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3.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3.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3.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3.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3.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3.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3.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3.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3.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3.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3.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3.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3.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3.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3.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3.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3.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3.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3.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3.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3.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3.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3.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3.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3.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3.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3.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3.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3.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3.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3.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3.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3.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3.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3.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3.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3.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3.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3.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3.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3.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3.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3.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3.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3.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3.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3.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3.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3.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3.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3.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3.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3.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3.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3.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3.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3.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3.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3.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3.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3.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3.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3.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3.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3.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3.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3.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3.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3.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3.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3.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3.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3.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3.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3.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3.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3.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3.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3.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3.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3.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3.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3.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3.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3.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3.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3.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3.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3.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3.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3.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3.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3.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3.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3.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3.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3.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3.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3.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3.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3.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3.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3.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3.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3.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3.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3.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3.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3.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3.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3.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3.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3.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3.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3.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3.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3.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3.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3.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3.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3.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3.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3.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3.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3.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3.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3.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3.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3.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3.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3.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3.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3.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3.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3.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3.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3.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3.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3.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3.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3.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3.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3.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3.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3.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3.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3.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3.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3.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3.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3.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3.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3.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3.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3.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3.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3.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3.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3.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3.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3.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3.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3.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3.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3.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3.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3.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3.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3.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3.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3.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3.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3.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3.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3.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3.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3.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3.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3.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3.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3.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3.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3.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3.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3.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3.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3.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3.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3.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3.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3.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3.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3.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3.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3.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3.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3.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3.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3.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3.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3.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3.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3.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3.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3.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3.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3.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3.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3.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3.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3.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3.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3.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3.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3.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3.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3.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3.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3.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3.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3.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3.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3.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3.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3.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3.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3.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3.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3.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3.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3.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3.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3.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3.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3.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3.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3.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3.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3.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3.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3.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3.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3.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3.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3.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3.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3.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3.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3.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3.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3.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3.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3.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3.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3.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3.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3.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3.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3.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3.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3.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3.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3.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3.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3.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3.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3.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3.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3.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3.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3.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3.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3.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3.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3.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3.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3.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3.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3.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3.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3.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3.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3.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3.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3.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3.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3.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3.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3.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3.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3.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3.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3.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3.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3.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3.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3.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3.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3.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3.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3.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3.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3.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3.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3.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3.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3.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3.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3.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3.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3.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3.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3.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3.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3.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3.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3.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3.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3.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3.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3.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3.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3.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3.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3.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3.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3.4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3.4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3.4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3.4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3.4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3.4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3.4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3.4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3.4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3.4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3.4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3.4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3.4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3.4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3.4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3.4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3.4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3.4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3.4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3.4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3.4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3.4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3.4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3.4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3.4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3.4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3.4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3.4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</sheetData>
  <mergeCells count="8">
    <mergeCell ref="A1:E1"/>
    <mergeCell ref="B53:D53"/>
    <mergeCell ref="B132:C132"/>
    <mergeCell ref="B80:D80"/>
    <mergeCell ref="B125:C125"/>
    <mergeCell ref="B16:F16"/>
    <mergeCell ref="B3:C3"/>
    <mergeCell ref="B141:C141"/>
  </mergeCells>
  <pageMargins left="0.7" right="0.7" top="0.75" bottom="0.75" header="0" footer="0"/>
  <pageSetup scale="6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976"/>
  <sheetViews>
    <sheetView showGridLines="0" zoomScale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5" sqref="F5"/>
    </sheetView>
  </sheetViews>
  <sheetFormatPr defaultColWidth="12.54296875" defaultRowHeight="15.75" customHeight="1"/>
  <cols>
    <col min="1" max="1" width="29.26953125" customWidth="1"/>
    <col min="2" max="8" width="10.54296875" customWidth="1"/>
    <col min="62" max="62" width="19.40625" customWidth="1"/>
    <col min="63" max="64" width="11.40625" customWidth="1"/>
    <col min="65" max="66" width="12.26953125" customWidth="1"/>
    <col min="67" max="67" width="13.40625" customWidth="1"/>
  </cols>
  <sheetData>
    <row r="1" spans="1:67" ht="18.95" customHeight="1">
      <c r="A1" s="2" t="s">
        <v>150</v>
      </c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9"/>
      <c r="BJ1" s="78"/>
      <c r="BO1" s="6"/>
    </row>
    <row r="2" spans="1:67" ht="13.4" customHeight="1">
      <c r="A2" s="6"/>
      <c r="B2" s="79" t="s">
        <v>151</v>
      </c>
      <c r="C2" s="79" t="s">
        <v>152</v>
      </c>
      <c r="D2" s="79" t="s">
        <v>153</v>
      </c>
      <c r="E2" s="79" t="s">
        <v>154</v>
      </c>
      <c r="F2" s="79" t="s">
        <v>155</v>
      </c>
      <c r="G2" s="79" t="s">
        <v>156</v>
      </c>
      <c r="H2" s="79" t="s">
        <v>157</v>
      </c>
      <c r="I2" s="79" t="s">
        <v>158</v>
      </c>
      <c r="J2" s="79" t="s">
        <v>159</v>
      </c>
      <c r="K2" s="79" t="s">
        <v>160</v>
      </c>
      <c r="L2" s="79" t="s">
        <v>161</v>
      </c>
      <c r="M2" s="79" t="s">
        <v>162</v>
      </c>
      <c r="N2" s="79" t="s">
        <v>163</v>
      </c>
      <c r="O2" s="79" t="s">
        <v>164</v>
      </c>
      <c r="P2" s="79" t="s">
        <v>165</v>
      </c>
      <c r="Q2" s="79" t="s">
        <v>166</v>
      </c>
      <c r="R2" s="79" t="s">
        <v>167</v>
      </c>
      <c r="S2" s="79" t="s">
        <v>168</v>
      </c>
      <c r="T2" s="79" t="s">
        <v>169</v>
      </c>
      <c r="U2" s="79" t="s">
        <v>170</v>
      </c>
      <c r="V2" s="79" t="s">
        <v>171</v>
      </c>
      <c r="W2" s="79" t="s">
        <v>172</v>
      </c>
      <c r="X2" s="79" t="s">
        <v>173</v>
      </c>
      <c r="Y2" s="79" t="s">
        <v>174</v>
      </c>
      <c r="Z2" s="79" t="s">
        <v>175</v>
      </c>
      <c r="AA2" s="79" t="s">
        <v>176</v>
      </c>
      <c r="AB2" s="79" t="s">
        <v>177</v>
      </c>
      <c r="AC2" s="79" t="s">
        <v>178</v>
      </c>
      <c r="AD2" s="79" t="s">
        <v>179</v>
      </c>
      <c r="AE2" s="79" t="s">
        <v>180</v>
      </c>
      <c r="AF2" s="79" t="s">
        <v>181</v>
      </c>
      <c r="AG2" s="79" t="s">
        <v>182</v>
      </c>
      <c r="AH2" s="79" t="s">
        <v>183</v>
      </c>
      <c r="AI2" s="79" t="s">
        <v>184</v>
      </c>
      <c r="AJ2" s="79" t="s">
        <v>185</v>
      </c>
      <c r="AK2" s="79" t="s">
        <v>186</v>
      </c>
      <c r="AL2" s="79" t="s">
        <v>187</v>
      </c>
      <c r="AM2" s="79" t="s">
        <v>188</v>
      </c>
      <c r="AN2" s="79" t="s">
        <v>189</v>
      </c>
      <c r="AO2" s="79" t="s">
        <v>190</v>
      </c>
      <c r="AP2" s="79" t="s">
        <v>191</v>
      </c>
      <c r="AQ2" s="79" t="s">
        <v>192</v>
      </c>
      <c r="AR2" s="79" t="s">
        <v>193</v>
      </c>
      <c r="AS2" s="79" t="s">
        <v>194</v>
      </c>
      <c r="AT2" s="79" t="s">
        <v>195</v>
      </c>
      <c r="AU2" s="79" t="s">
        <v>196</v>
      </c>
      <c r="AV2" s="79" t="s">
        <v>197</v>
      </c>
      <c r="AW2" s="79" t="s">
        <v>198</v>
      </c>
      <c r="AX2" s="79" t="s">
        <v>199</v>
      </c>
      <c r="AY2" s="79" t="s">
        <v>200</v>
      </c>
      <c r="AZ2" s="79" t="s">
        <v>201</v>
      </c>
      <c r="BA2" s="79" t="s">
        <v>202</v>
      </c>
      <c r="BB2" s="79" t="s">
        <v>203</v>
      </c>
      <c r="BC2" s="79" t="s">
        <v>204</v>
      </c>
      <c r="BD2" s="79" t="s">
        <v>205</v>
      </c>
      <c r="BE2" s="79" t="s">
        <v>206</v>
      </c>
      <c r="BF2" s="79" t="s">
        <v>207</v>
      </c>
      <c r="BG2" s="79" t="s">
        <v>208</v>
      </c>
      <c r="BH2" s="79" t="s">
        <v>209</v>
      </c>
      <c r="BI2" s="80" t="s">
        <v>210</v>
      </c>
      <c r="BJ2" s="19"/>
      <c r="BK2" s="81" t="s">
        <v>151</v>
      </c>
      <c r="BL2" s="81" t="s">
        <v>152</v>
      </c>
      <c r="BM2" s="81" t="s">
        <v>153</v>
      </c>
      <c r="BN2" s="81" t="s">
        <v>154</v>
      </c>
      <c r="BO2" s="81" t="s">
        <v>155</v>
      </c>
    </row>
    <row r="3" spans="1:67" ht="12.95" customHeight="1">
      <c r="A3" s="82" t="s">
        <v>211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3" t="str">
        <f>A3</f>
        <v>KPIs Schedule</v>
      </c>
      <c r="BK3" s="84"/>
      <c r="BL3" s="84"/>
      <c r="BM3" s="84"/>
      <c r="BN3" s="84"/>
      <c r="BO3" s="84"/>
    </row>
    <row r="4" spans="1:67" ht="13.4" customHeight="1">
      <c r="A4" s="6"/>
      <c r="B4" s="79">
        <v>1</v>
      </c>
      <c r="C4" s="79">
        <f t="shared" ref="C4:AH4" si="0">B4+1</f>
        <v>2</v>
      </c>
      <c r="D4" s="79">
        <f t="shared" si="0"/>
        <v>3</v>
      </c>
      <c r="E4" s="79">
        <f t="shared" si="0"/>
        <v>4</v>
      </c>
      <c r="F4" s="79">
        <f t="shared" si="0"/>
        <v>5</v>
      </c>
      <c r="G4" s="79">
        <f t="shared" si="0"/>
        <v>6</v>
      </c>
      <c r="H4" s="79">
        <f t="shared" si="0"/>
        <v>7</v>
      </c>
      <c r="I4" s="79">
        <f t="shared" si="0"/>
        <v>8</v>
      </c>
      <c r="J4" s="79">
        <f t="shared" si="0"/>
        <v>9</v>
      </c>
      <c r="K4" s="79">
        <f t="shared" si="0"/>
        <v>10</v>
      </c>
      <c r="L4" s="79">
        <f t="shared" si="0"/>
        <v>11</v>
      </c>
      <c r="M4" s="79">
        <f t="shared" si="0"/>
        <v>12</v>
      </c>
      <c r="N4" s="79">
        <f t="shared" si="0"/>
        <v>13</v>
      </c>
      <c r="O4" s="79">
        <f t="shared" si="0"/>
        <v>14</v>
      </c>
      <c r="P4" s="79">
        <f t="shared" si="0"/>
        <v>15</v>
      </c>
      <c r="Q4" s="79">
        <f t="shared" si="0"/>
        <v>16</v>
      </c>
      <c r="R4" s="79">
        <f t="shared" si="0"/>
        <v>17</v>
      </c>
      <c r="S4" s="79">
        <f t="shared" si="0"/>
        <v>18</v>
      </c>
      <c r="T4" s="79">
        <f t="shared" si="0"/>
        <v>19</v>
      </c>
      <c r="U4" s="79">
        <f t="shared" si="0"/>
        <v>20</v>
      </c>
      <c r="V4" s="79">
        <f t="shared" si="0"/>
        <v>21</v>
      </c>
      <c r="W4" s="79">
        <f t="shared" si="0"/>
        <v>22</v>
      </c>
      <c r="X4" s="79">
        <f t="shared" si="0"/>
        <v>23</v>
      </c>
      <c r="Y4" s="79">
        <f t="shared" si="0"/>
        <v>24</v>
      </c>
      <c r="Z4" s="79">
        <f t="shared" si="0"/>
        <v>25</v>
      </c>
      <c r="AA4" s="79">
        <f t="shared" si="0"/>
        <v>26</v>
      </c>
      <c r="AB4" s="79">
        <f t="shared" si="0"/>
        <v>27</v>
      </c>
      <c r="AC4" s="79">
        <f t="shared" si="0"/>
        <v>28</v>
      </c>
      <c r="AD4" s="79">
        <f t="shared" si="0"/>
        <v>29</v>
      </c>
      <c r="AE4" s="79">
        <f t="shared" si="0"/>
        <v>30</v>
      </c>
      <c r="AF4" s="79">
        <f t="shared" si="0"/>
        <v>31</v>
      </c>
      <c r="AG4" s="79">
        <f t="shared" si="0"/>
        <v>32</v>
      </c>
      <c r="AH4" s="79">
        <f t="shared" si="0"/>
        <v>33</v>
      </c>
      <c r="AI4" s="79">
        <f t="shared" ref="AI4:BI4" si="1">AH4+1</f>
        <v>34</v>
      </c>
      <c r="AJ4" s="79">
        <f t="shared" si="1"/>
        <v>35</v>
      </c>
      <c r="AK4" s="79">
        <f t="shared" si="1"/>
        <v>36</v>
      </c>
      <c r="AL4" s="79">
        <f t="shared" si="1"/>
        <v>37</v>
      </c>
      <c r="AM4" s="79">
        <f t="shared" si="1"/>
        <v>38</v>
      </c>
      <c r="AN4" s="79">
        <f t="shared" si="1"/>
        <v>39</v>
      </c>
      <c r="AO4" s="79">
        <f t="shared" si="1"/>
        <v>40</v>
      </c>
      <c r="AP4" s="79">
        <f t="shared" si="1"/>
        <v>41</v>
      </c>
      <c r="AQ4" s="79">
        <f t="shared" si="1"/>
        <v>42</v>
      </c>
      <c r="AR4" s="79">
        <f t="shared" si="1"/>
        <v>43</v>
      </c>
      <c r="AS4" s="79">
        <f t="shared" si="1"/>
        <v>44</v>
      </c>
      <c r="AT4" s="79">
        <f t="shared" si="1"/>
        <v>45</v>
      </c>
      <c r="AU4" s="79">
        <f t="shared" si="1"/>
        <v>46</v>
      </c>
      <c r="AV4" s="79">
        <f t="shared" si="1"/>
        <v>47</v>
      </c>
      <c r="AW4" s="79">
        <f t="shared" si="1"/>
        <v>48</v>
      </c>
      <c r="AX4" s="79">
        <f t="shared" si="1"/>
        <v>49</v>
      </c>
      <c r="AY4" s="79">
        <f t="shared" si="1"/>
        <v>50</v>
      </c>
      <c r="AZ4" s="79">
        <f t="shared" si="1"/>
        <v>51</v>
      </c>
      <c r="BA4" s="79">
        <f t="shared" si="1"/>
        <v>52</v>
      </c>
      <c r="BB4" s="79">
        <f t="shared" si="1"/>
        <v>53</v>
      </c>
      <c r="BC4" s="79">
        <f t="shared" si="1"/>
        <v>54</v>
      </c>
      <c r="BD4" s="79">
        <f t="shared" si="1"/>
        <v>55</v>
      </c>
      <c r="BE4" s="79">
        <f t="shared" si="1"/>
        <v>56</v>
      </c>
      <c r="BF4" s="79">
        <f t="shared" si="1"/>
        <v>57</v>
      </c>
      <c r="BG4" s="79">
        <f t="shared" si="1"/>
        <v>58</v>
      </c>
      <c r="BH4" s="79">
        <f t="shared" si="1"/>
        <v>59</v>
      </c>
      <c r="BI4" s="80">
        <f t="shared" si="1"/>
        <v>60</v>
      </c>
      <c r="BJ4" s="19"/>
      <c r="BK4" s="85">
        <v>1</v>
      </c>
      <c r="BL4" s="79">
        <f>BK4+1</f>
        <v>2</v>
      </c>
      <c r="BM4" s="79">
        <f>BL4+1</f>
        <v>3</v>
      </c>
      <c r="BN4" s="79">
        <f>BM4+1</f>
        <v>4</v>
      </c>
      <c r="BO4" s="79">
        <f>BN4+1</f>
        <v>5</v>
      </c>
    </row>
    <row r="5" spans="1:67" ht="13.4" customHeight="1">
      <c r="A5" s="6" t="s">
        <v>6</v>
      </c>
      <c r="B5" s="85">
        <f ca="1">ROUND(MAX(0,NORMINV(RAND(), B6, 'Assumption Table'!$C$6)),0)</f>
        <v>11111</v>
      </c>
      <c r="C5" s="85">
        <f ca="1">ROUND(MAX(0,NORMINV(RAND(), C6, 'Assumption Table'!$C$6)),0)</f>
        <v>10631</v>
      </c>
      <c r="D5" s="85">
        <f ca="1">ROUND(MAX(0,NORMINV(RAND(), D6, 'Assumption Table'!$C$6)),0)</f>
        <v>9960</v>
      </c>
      <c r="E5" s="85">
        <f ca="1">ROUND(MAX(0,NORMINV(RAND(), E6, 'Assumption Table'!$C$6)),0)</f>
        <v>10410</v>
      </c>
      <c r="F5" s="85">
        <f ca="1">ROUND(MAX(0,NORMINV(RAND(), F6, 'Assumption Table'!$C$6)),0)</f>
        <v>9486</v>
      </c>
      <c r="G5" s="85">
        <f ca="1">ROUND(MAX(0,NORMINV(RAND(), G6, 'Assumption Table'!$C$6)),0)</f>
        <v>10687</v>
      </c>
      <c r="H5" s="85">
        <f ca="1">ROUND(MAX(0,NORMINV(RAND(), H6, 'Assumption Table'!$C$6)),0)</f>
        <v>12027</v>
      </c>
      <c r="I5" s="85">
        <f ca="1">ROUND(MAX(0,NORMINV(RAND(), I6, 'Assumption Table'!$C$6)),0)</f>
        <v>10157</v>
      </c>
      <c r="J5" s="85">
        <f ca="1">ROUND(MAX(0,NORMINV(RAND(), J6, 'Assumption Table'!$C$6)),0)</f>
        <v>11111</v>
      </c>
      <c r="K5" s="85">
        <f ca="1">ROUND(MAX(0,NORMINV(RAND(), K6, 'Assumption Table'!$C$6)),0)</f>
        <v>12404</v>
      </c>
      <c r="L5" s="85">
        <f ca="1">ROUND(MAX(0,NORMINV(RAND(), L6, 'Assumption Table'!$C$6)),0)</f>
        <v>11001</v>
      </c>
      <c r="M5" s="85">
        <f ca="1">ROUND(MAX(0,NORMINV(RAND(), M6, 'Assumption Table'!$C$6)),0)</f>
        <v>11058</v>
      </c>
      <c r="N5" s="85">
        <f ca="1">ROUND(MAX(0,NORMINV(RAND(), N6, 'Assumption Table'!$C$6)),0)</f>
        <v>14253</v>
      </c>
      <c r="O5" s="85">
        <f ca="1">ROUND(MAX(0,NORMINV(RAND(), O6, 'Assumption Table'!$C$6)),0)</f>
        <v>13187</v>
      </c>
      <c r="P5" s="85">
        <f ca="1">ROUND(MAX(0,NORMINV(RAND(), P6, 'Assumption Table'!$C$6)),0)</f>
        <v>12266</v>
      </c>
      <c r="Q5" s="85">
        <f ca="1">ROUND(MAX(0,NORMINV(RAND(), Q6, 'Assumption Table'!$C$6)),0)</f>
        <v>14210</v>
      </c>
      <c r="R5" s="85">
        <f ca="1">ROUND(MAX(0,NORMINV(RAND(), R6, 'Assumption Table'!$C$6)),0)</f>
        <v>14604</v>
      </c>
      <c r="S5" s="85">
        <f ca="1">ROUND(MAX(0,NORMINV(RAND(), S6, 'Assumption Table'!$C$6)),0)</f>
        <v>14021</v>
      </c>
      <c r="T5" s="85">
        <f ca="1">ROUND(MAX(0,NORMINV(RAND(), T6, 'Assumption Table'!$C$6)),0)</f>
        <v>14026</v>
      </c>
      <c r="U5" s="85">
        <f ca="1">ROUND(MAX(0,NORMINV(RAND(), U6, 'Assumption Table'!$C$6)),0)</f>
        <v>12233</v>
      </c>
      <c r="V5" s="85">
        <f ca="1">ROUND(MAX(0,NORMINV(RAND(), V6, 'Assumption Table'!$C$6)),0)</f>
        <v>14237</v>
      </c>
      <c r="W5" s="85">
        <f ca="1">ROUND(MAX(0,NORMINV(RAND(), W6, 'Assumption Table'!$C$6)),0)</f>
        <v>13291</v>
      </c>
      <c r="X5" s="85">
        <f ca="1">ROUND(MAX(0,NORMINV(RAND(), X6, 'Assumption Table'!$C$6)),0)</f>
        <v>13978</v>
      </c>
      <c r="Y5" s="85">
        <f ca="1">ROUND(MAX(0,NORMINV(RAND(), Y6, 'Assumption Table'!$C$6)),0)</f>
        <v>15793</v>
      </c>
      <c r="Z5" s="85">
        <f ca="1">ROUND(MAX(0,NORMINV(RAND(), Z6, 'Assumption Table'!$C$6)),0)</f>
        <v>16309</v>
      </c>
      <c r="AA5" s="85">
        <f ca="1">ROUND(MAX(0,NORMINV(RAND(), AA6, 'Assumption Table'!$C$6)),0)</f>
        <v>16003</v>
      </c>
      <c r="AB5" s="85">
        <f ca="1">ROUND(MAX(0,NORMINV(RAND(), AB6, 'Assumption Table'!$C$6)),0)</f>
        <v>15362</v>
      </c>
      <c r="AC5" s="85">
        <f ca="1">ROUND(MAX(0,NORMINV(RAND(), AC6, 'Assumption Table'!$C$6)),0)</f>
        <v>16289</v>
      </c>
      <c r="AD5" s="85">
        <f ca="1">ROUND(MAX(0,NORMINV(RAND(), AD6, 'Assumption Table'!$C$6)),0)</f>
        <v>16205</v>
      </c>
      <c r="AE5" s="85">
        <f ca="1">ROUND(MAX(0,NORMINV(RAND(), AE6, 'Assumption Table'!$C$6)),0)</f>
        <v>16697</v>
      </c>
      <c r="AF5" s="85">
        <f ca="1">ROUND(MAX(0,NORMINV(RAND(), AF6, 'Assumption Table'!$C$6)),0)</f>
        <v>16951</v>
      </c>
      <c r="AG5" s="85">
        <f ca="1">ROUND(MAX(0,NORMINV(RAND(), AG6, 'Assumption Table'!$C$6)),0)</f>
        <v>19448</v>
      </c>
      <c r="AH5" s="85">
        <f ca="1">ROUND(MAX(0,NORMINV(RAND(), AH6, 'Assumption Table'!$C$6)),0)</f>
        <v>18670</v>
      </c>
      <c r="AI5" s="85">
        <f ca="1">ROUND(MAX(0,NORMINV(RAND(), AI6, 'Assumption Table'!$C$6)),0)</f>
        <v>18739</v>
      </c>
      <c r="AJ5" s="85">
        <f ca="1">ROUND(MAX(0,NORMINV(RAND(), AJ6, 'Assumption Table'!$C$6)),0)</f>
        <v>20289</v>
      </c>
      <c r="AK5" s="85">
        <f ca="1">ROUND(MAX(0,NORMINV(RAND(), AK6, 'Assumption Table'!$C$6)),0)</f>
        <v>20909</v>
      </c>
      <c r="AL5" s="85">
        <f ca="1">ROUND(MAX(0,NORMINV(RAND(), AL6, 'Assumption Table'!$C$6)),0)</f>
        <v>21547</v>
      </c>
      <c r="AM5" s="85">
        <f ca="1">ROUND(MAX(0,NORMINV(RAND(), AM6, 'Assumption Table'!$C$6)),0)</f>
        <v>20145</v>
      </c>
      <c r="AN5" s="85">
        <f ca="1">ROUND(MAX(0,NORMINV(RAND(), AN6, 'Assumption Table'!$C$6)),0)</f>
        <v>20707</v>
      </c>
      <c r="AO5" s="85">
        <f ca="1">ROUND(MAX(0,NORMINV(RAND(), AO6, 'Assumption Table'!$C$6)),0)</f>
        <v>21130</v>
      </c>
      <c r="AP5" s="85">
        <f ca="1">ROUND(MAX(0,NORMINV(RAND(), AP6, 'Assumption Table'!$C$6)),0)</f>
        <v>20594</v>
      </c>
      <c r="AQ5" s="85">
        <f ca="1">ROUND(MAX(0,NORMINV(RAND(), AQ6, 'Assumption Table'!$C$6)),0)</f>
        <v>23263</v>
      </c>
      <c r="AR5" s="85">
        <f ca="1">ROUND(MAX(0,NORMINV(RAND(), AR6, 'Assumption Table'!$C$6)),0)</f>
        <v>23344</v>
      </c>
      <c r="AS5" s="85">
        <f ca="1">ROUND(MAX(0,NORMINV(RAND(), AS6, 'Assumption Table'!$C$6)),0)</f>
        <v>23151</v>
      </c>
      <c r="AT5" s="85">
        <f ca="1">ROUND(MAX(0,NORMINV(RAND(), AT6, 'Assumption Table'!$C$6)),0)</f>
        <v>23423</v>
      </c>
      <c r="AU5" s="85">
        <f ca="1">ROUND(MAX(0,NORMINV(RAND(), AU6, 'Assumption Table'!$C$6)),0)</f>
        <v>23394</v>
      </c>
      <c r="AV5" s="85">
        <f ca="1">ROUND(MAX(0,NORMINV(RAND(), AV6, 'Assumption Table'!$C$6)),0)</f>
        <v>26560</v>
      </c>
      <c r="AW5" s="85">
        <f ca="1">ROUND(MAX(0,NORMINV(RAND(), AW6, 'Assumption Table'!$C$6)),0)</f>
        <v>24931</v>
      </c>
      <c r="AX5" s="85">
        <f ca="1">ROUND(MAX(0,NORMINV(RAND(), AX6, 'Assumption Table'!$C$6)),0)</f>
        <v>28024</v>
      </c>
      <c r="AY5" s="85">
        <f ca="1">ROUND(MAX(0,NORMINV(RAND(), AY6, 'Assumption Table'!$C$6)),0)</f>
        <v>25582</v>
      </c>
      <c r="AZ5" s="85">
        <f ca="1">ROUND(MAX(0,NORMINV(RAND(), AZ6, 'Assumption Table'!$C$6)),0)</f>
        <v>28289</v>
      </c>
      <c r="BA5" s="85">
        <f ca="1">ROUND(MAX(0,NORMINV(RAND(), BA6, 'Assumption Table'!$C$6)),0)</f>
        <v>28648</v>
      </c>
      <c r="BB5" s="85">
        <f ca="1">ROUND(MAX(0,NORMINV(RAND(), BB6, 'Assumption Table'!$C$6)),0)</f>
        <v>29037</v>
      </c>
      <c r="BC5" s="85">
        <f ca="1">ROUND(MAX(0,NORMINV(RAND(), BC6, 'Assumption Table'!$C$6)),0)</f>
        <v>29274</v>
      </c>
      <c r="BD5" s="85">
        <f ca="1">ROUND(MAX(0,NORMINV(RAND(), BD6, 'Assumption Table'!$C$6)),0)</f>
        <v>29644</v>
      </c>
      <c r="BE5" s="85">
        <f ca="1">ROUND(MAX(0,NORMINV(RAND(), BE6, 'Assumption Table'!$C$6)),0)</f>
        <v>29621</v>
      </c>
      <c r="BF5" s="85">
        <f ca="1">ROUND(MAX(0,NORMINV(RAND(), BF6, 'Assumption Table'!$C$6)),0)</f>
        <v>31416</v>
      </c>
      <c r="BG5" s="85">
        <f ca="1">ROUND(MAX(0,NORMINV(RAND(), BG6, 'Assumption Table'!$C$6)),0)</f>
        <v>29873</v>
      </c>
      <c r="BH5" s="85">
        <f ca="1">ROUND(MAX(0,NORMINV(RAND(), BH6, 'Assumption Table'!$C$6)),0)</f>
        <v>32754</v>
      </c>
      <c r="BI5" s="86">
        <f ca="1">ROUND(MAX(0,NORMINV(RAND(), BI6, 'Assumption Table'!$C$6)),0)</f>
        <v>29639</v>
      </c>
      <c r="BJ5" s="87" t="str">
        <f>A5</f>
        <v>Organic Downloads</v>
      </c>
      <c r="BK5" s="85">
        <f ca="1">SUMIFS($B5:$BI5,$B$4:$BI$4,"&lt;=12")</f>
        <v>130043</v>
      </c>
      <c r="BL5" s="85">
        <f ca="1">SUMIFS($B5:$BI5,$B$4:$BI$4,"&lt;=24",$B$4:$BI$4,"&gt;12")</f>
        <v>166099</v>
      </c>
      <c r="BM5" s="85">
        <f ca="1">SUMIFS($B5:$BI5,$B$4:$BI$4,"&lt;=36",$B$4:$BI$4,"&gt;24")</f>
        <v>211871</v>
      </c>
      <c r="BN5" s="85">
        <f ca="1">SUMIFS($B5:$BI5,$B$4:$BI$4,"&lt;=48",$B$4:$BI$4,"&gt;36")</f>
        <v>272189</v>
      </c>
      <c r="BO5" s="85">
        <f ca="1">SUMIFS($B5:$BI5,$B$4:$BI$4,"&lt;=60",$B$4:$BI$4,"&gt;48")</f>
        <v>351801</v>
      </c>
    </row>
    <row r="6" spans="1:67" ht="13.4" customHeight="1">
      <c r="A6" s="6" t="s">
        <v>212</v>
      </c>
      <c r="B6" s="85">
        <f>'Assumption Table'!C5</f>
        <v>10000</v>
      </c>
      <c r="C6" s="85">
        <f>ROUND(B6*(1+'Assumption Table'!$C$7),0)</f>
        <v>10200</v>
      </c>
      <c r="D6" s="85">
        <f>ROUND(C6*(1+'Assumption Table'!$C$7),0)</f>
        <v>10404</v>
      </c>
      <c r="E6" s="85">
        <f>ROUND(D6*(1+'Assumption Table'!$C$7),0)</f>
        <v>10612</v>
      </c>
      <c r="F6" s="85">
        <f>ROUND(E6*(1+'Assumption Table'!$C$7),0)</f>
        <v>10824</v>
      </c>
      <c r="G6" s="85">
        <f>ROUND(F6*(1+'Assumption Table'!$C$7),0)</f>
        <v>11040</v>
      </c>
      <c r="H6" s="85">
        <f>ROUND(G6*(1+'Assumption Table'!$C$7),0)</f>
        <v>11261</v>
      </c>
      <c r="I6" s="85">
        <f>ROUND(H6*(1+'Assumption Table'!$C$7),0)</f>
        <v>11486</v>
      </c>
      <c r="J6" s="85">
        <f>ROUND(I6*(1+'Assumption Table'!$C$7),0)</f>
        <v>11716</v>
      </c>
      <c r="K6" s="85">
        <f>ROUND(J6*(1+'Assumption Table'!$C$7),0)</f>
        <v>11950</v>
      </c>
      <c r="L6" s="85">
        <f>ROUND(K6*(1+'Assumption Table'!$C$7),0)</f>
        <v>12189</v>
      </c>
      <c r="M6" s="85">
        <f>ROUND(L6*(1+'Assumption Table'!$C$7),0)</f>
        <v>12433</v>
      </c>
      <c r="N6" s="85">
        <f>ROUND(M6*(1+'Assumption Table'!$C$7),0)</f>
        <v>12682</v>
      </c>
      <c r="O6" s="85">
        <f>ROUND(N6*(1+'Assumption Table'!$C$7),0)</f>
        <v>12936</v>
      </c>
      <c r="P6" s="85">
        <f>ROUND(O6*(1+'Assumption Table'!$C$7),0)</f>
        <v>13195</v>
      </c>
      <c r="Q6" s="85">
        <f>ROUND(P6*(1+'Assumption Table'!$C$7),0)</f>
        <v>13459</v>
      </c>
      <c r="R6" s="85">
        <f>ROUND(Q6*(1+'Assumption Table'!$C$7),0)</f>
        <v>13728</v>
      </c>
      <c r="S6" s="85">
        <f>ROUND(R6*(1+'Assumption Table'!$C$7),0)</f>
        <v>14003</v>
      </c>
      <c r="T6" s="85">
        <f>ROUND(S6*(1+'Assumption Table'!$C$7),0)</f>
        <v>14283</v>
      </c>
      <c r="U6" s="85">
        <f>ROUND(T6*(1+'Assumption Table'!$C$7),0)</f>
        <v>14569</v>
      </c>
      <c r="V6" s="85">
        <f>ROUND(U6*(1+'Assumption Table'!$C$7),0)</f>
        <v>14860</v>
      </c>
      <c r="W6" s="85">
        <f>ROUND(V6*(1+'Assumption Table'!$C$7),0)</f>
        <v>15157</v>
      </c>
      <c r="X6" s="85">
        <f>ROUND(W6*(1+'Assumption Table'!$C$7),0)</f>
        <v>15460</v>
      </c>
      <c r="Y6" s="85">
        <f>ROUND(X6*(1+'Assumption Table'!$C$7),0)</f>
        <v>15769</v>
      </c>
      <c r="Z6" s="85">
        <f>ROUND(Y6*(1+'Assumption Table'!$C$7),0)</f>
        <v>16084</v>
      </c>
      <c r="AA6" s="85">
        <f>ROUND(Z6*(1+'Assumption Table'!$C$7),0)</f>
        <v>16406</v>
      </c>
      <c r="AB6" s="85">
        <f>ROUND(AA6*(1+'Assumption Table'!$C$7),0)</f>
        <v>16734</v>
      </c>
      <c r="AC6" s="85">
        <f>ROUND(AB6*(1+'Assumption Table'!$C$7),0)</f>
        <v>17069</v>
      </c>
      <c r="AD6" s="85">
        <f>ROUND(AC6*(1+'Assumption Table'!$C$7),0)</f>
        <v>17410</v>
      </c>
      <c r="AE6" s="85">
        <f>ROUND(AD6*(1+'Assumption Table'!$C$7),0)</f>
        <v>17758</v>
      </c>
      <c r="AF6" s="85">
        <f>ROUND(AE6*(1+'Assumption Table'!$C$7),0)</f>
        <v>18113</v>
      </c>
      <c r="AG6" s="85">
        <f>ROUND(AF6*(1+'Assumption Table'!$C$7),0)</f>
        <v>18475</v>
      </c>
      <c r="AH6" s="85">
        <f>ROUND(AG6*(1+'Assumption Table'!$C$7),0)</f>
        <v>18845</v>
      </c>
      <c r="AI6" s="85">
        <f>ROUND(AH6*(1+'Assumption Table'!$C$7),0)</f>
        <v>19222</v>
      </c>
      <c r="AJ6" s="85">
        <f>ROUND(AI6*(1+'Assumption Table'!$C$7),0)</f>
        <v>19606</v>
      </c>
      <c r="AK6" s="85">
        <f>ROUND(AJ6*(1+'Assumption Table'!$C$7),0)</f>
        <v>19998</v>
      </c>
      <c r="AL6" s="85">
        <f>ROUND(AK6*(1+'Assumption Table'!$C$7),0)</f>
        <v>20398</v>
      </c>
      <c r="AM6" s="85">
        <f>ROUND(AL6*(1+'Assumption Table'!$C$7),0)</f>
        <v>20806</v>
      </c>
      <c r="AN6" s="85">
        <f>ROUND(AM6*(1+'Assumption Table'!$C$7),0)</f>
        <v>21222</v>
      </c>
      <c r="AO6" s="85">
        <f>ROUND(AN6*(1+'Assumption Table'!$C$7),0)</f>
        <v>21646</v>
      </c>
      <c r="AP6" s="85">
        <f>ROUND(AO6*(1+'Assumption Table'!$C$7),0)</f>
        <v>22079</v>
      </c>
      <c r="AQ6" s="85">
        <f>ROUND(AP6*(1+'Assumption Table'!$C$7),0)</f>
        <v>22521</v>
      </c>
      <c r="AR6" s="85">
        <f>ROUND(AQ6*(1+'Assumption Table'!$C$7),0)</f>
        <v>22971</v>
      </c>
      <c r="AS6" s="85">
        <f>ROUND(AR6*(1+'Assumption Table'!$C$7),0)</f>
        <v>23430</v>
      </c>
      <c r="AT6" s="85">
        <f>ROUND(AS6*(1+'Assumption Table'!$C$7),0)</f>
        <v>23899</v>
      </c>
      <c r="AU6" s="85">
        <f>ROUND(AT6*(1+'Assumption Table'!$C$7),0)</f>
        <v>24377</v>
      </c>
      <c r="AV6" s="85">
        <f>ROUND(AU6*(1+'Assumption Table'!$C$7),0)</f>
        <v>24865</v>
      </c>
      <c r="AW6" s="85">
        <f>ROUND(AV6*(1+'Assumption Table'!$C$7),0)</f>
        <v>25362</v>
      </c>
      <c r="AX6" s="85">
        <f>ROUND(AW6*(1+'Assumption Table'!$C$7),0)</f>
        <v>25869</v>
      </c>
      <c r="AY6" s="85">
        <f>ROUND(AX6*(1+'Assumption Table'!$C$7),0)</f>
        <v>26386</v>
      </c>
      <c r="AZ6" s="85">
        <f>ROUND(AY6*(1+'Assumption Table'!$C$7),0)</f>
        <v>26914</v>
      </c>
      <c r="BA6" s="85">
        <f>ROUND(AZ6*(1+'Assumption Table'!$C$7),0)</f>
        <v>27452</v>
      </c>
      <c r="BB6" s="85">
        <f>ROUND(BA6*(1+'Assumption Table'!$C$7),0)</f>
        <v>28001</v>
      </c>
      <c r="BC6" s="85">
        <f>ROUND(BB6*(1+'Assumption Table'!$C$7),0)</f>
        <v>28561</v>
      </c>
      <c r="BD6" s="85">
        <f>ROUND(BC6*(1+'Assumption Table'!$C$7),0)</f>
        <v>29132</v>
      </c>
      <c r="BE6" s="85">
        <f>ROUND(BD6*(1+'Assumption Table'!$C$7),0)</f>
        <v>29715</v>
      </c>
      <c r="BF6" s="85">
        <f>ROUND(BE6*(1+'Assumption Table'!$C$7),0)</f>
        <v>30309</v>
      </c>
      <c r="BG6" s="85">
        <f>ROUND(BF6*(1+'Assumption Table'!$C$7),0)</f>
        <v>30915</v>
      </c>
      <c r="BH6" s="85">
        <f>ROUND(BG6*(1+'Assumption Table'!$C$7),0)</f>
        <v>31533</v>
      </c>
      <c r="BI6" s="86">
        <f>ROUND(BH6*(1+'Assumption Table'!$C$7),0)</f>
        <v>32164</v>
      </c>
      <c r="BJ6" s="87"/>
      <c r="BK6" s="85"/>
      <c r="BL6" s="85"/>
      <c r="BM6" s="85"/>
      <c r="BN6" s="85"/>
      <c r="BO6" s="85"/>
    </row>
    <row r="7" spans="1:67" ht="13.4" customHeight="1">
      <c r="A7" s="6" t="s">
        <v>213</v>
      </c>
      <c r="B7" s="85">
        <f ca="1">ROUND(MAX(0,NORMINV(RAND(), B8, 'Assumption Table'!$C$10)),0)</f>
        <v>5017</v>
      </c>
      <c r="C7" s="85">
        <f ca="1">ROUND(MAX(0,NORMINV(RAND(), C8, 'Assumption Table'!$C$10)),0)</f>
        <v>4922</v>
      </c>
      <c r="D7" s="85">
        <f ca="1">ROUND(MAX(0,NORMINV(RAND(), D8, 'Assumption Table'!$C$10)),0)</f>
        <v>5195</v>
      </c>
      <c r="E7" s="85">
        <f ca="1">ROUND(MAX(0,NORMINV(RAND(), E8, 'Assumption Table'!$C$10)),0)</f>
        <v>5210</v>
      </c>
      <c r="F7" s="85">
        <f ca="1">ROUND(MAX(0,NORMINV(RAND(), F8, 'Assumption Table'!$C$10)),0)</f>
        <v>5384</v>
      </c>
      <c r="G7" s="85">
        <f ca="1">ROUND(MAX(0,NORMINV(RAND(), G8, 'Assumption Table'!$C$10)),0)</f>
        <v>5426</v>
      </c>
      <c r="H7" s="85">
        <f ca="1">ROUND(MAX(0,NORMINV(RAND(), H8, 'Assumption Table'!$C$10)),0)</f>
        <v>5545</v>
      </c>
      <c r="I7" s="85">
        <f ca="1">ROUND(MAX(0,NORMINV(RAND(), I8, 'Assumption Table'!$C$10)),0)</f>
        <v>5740</v>
      </c>
      <c r="J7" s="85">
        <f ca="1">ROUND(MAX(0,NORMINV(RAND(), J8, 'Assumption Table'!$C$10)),0)</f>
        <v>5857</v>
      </c>
      <c r="K7" s="85">
        <f ca="1">ROUND(MAX(0,NORMINV(RAND(), K8, 'Assumption Table'!$C$10)),0)</f>
        <v>6098</v>
      </c>
      <c r="L7" s="85">
        <f ca="1">ROUND(MAX(0,NORMINV(RAND(), L8, 'Assumption Table'!$C$10)),0)</f>
        <v>6197</v>
      </c>
      <c r="M7" s="85">
        <f ca="1">ROUND(MAX(0,NORMINV(RAND(), M8, 'Assumption Table'!$C$10)),0)</f>
        <v>6108</v>
      </c>
      <c r="N7" s="85">
        <f ca="1">ROUND(MAX(0,NORMINV(RAND(), N8, 'Assumption Table'!$C$10)),0)</f>
        <v>6303</v>
      </c>
      <c r="O7" s="85">
        <f ca="1">ROUND(MAX(0,NORMINV(RAND(), O8, 'Assumption Table'!$C$10)),0)</f>
        <v>6518</v>
      </c>
      <c r="P7" s="85">
        <f ca="1">ROUND(MAX(0,NORMINV(RAND(), P8, 'Assumption Table'!$C$10)),0)</f>
        <v>6672</v>
      </c>
      <c r="Q7" s="85">
        <f ca="1">ROUND(MAX(0,NORMINV(RAND(), Q8, 'Assumption Table'!$C$10)),0)</f>
        <v>6827</v>
      </c>
      <c r="R7" s="85">
        <f ca="1">ROUND(MAX(0,NORMINV(RAND(), R8, 'Assumption Table'!$C$10)),0)</f>
        <v>6925</v>
      </c>
      <c r="S7" s="85">
        <f ca="1">ROUND(MAX(0,NORMINV(RAND(), S8, 'Assumption Table'!$C$10)),0)</f>
        <v>7067</v>
      </c>
      <c r="T7" s="85">
        <f ca="1">ROUND(MAX(0,NORMINV(RAND(), T8, 'Assumption Table'!$C$10)),0)</f>
        <v>7121</v>
      </c>
      <c r="U7" s="85">
        <f ca="1">ROUND(MAX(0,NORMINV(RAND(), U8, 'Assumption Table'!$C$10)),0)</f>
        <v>7093</v>
      </c>
      <c r="V7" s="85">
        <f ca="1">ROUND(MAX(0,NORMINV(RAND(), V8, 'Assumption Table'!$C$10)),0)</f>
        <v>7448</v>
      </c>
      <c r="W7" s="85">
        <f ca="1">ROUND(MAX(0,NORMINV(RAND(), W8, 'Assumption Table'!$C$10)),0)</f>
        <v>7569</v>
      </c>
      <c r="X7" s="85">
        <f ca="1">ROUND(MAX(0,NORMINV(RAND(), X8, 'Assumption Table'!$C$10)),0)</f>
        <v>7817</v>
      </c>
      <c r="Y7" s="85">
        <f ca="1">ROUND(MAX(0,NORMINV(RAND(), Y8, 'Assumption Table'!$C$10)),0)</f>
        <v>7961</v>
      </c>
      <c r="Z7" s="85">
        <f ca="1">ROUND(MAX(0,NORMINV(RAND(), Z8, 'Assumption Table'!$C$10)),0)</f>
        <v>8131</v>
      </c>
      <c r="AA7" s="85">
        <f ca="1">ROUND(MAX(0,NORMINV(RAND(), AA8, 'Assumption Table'!$C$10)),0)</f>
        <v>8314</v>
      </c>
      <c r="AB7" s="85">
        <f ca="1">ROUND(MAX(0,NORMINV(RAND(), AB8, 'Assumption Table'!$C$10)),0)</f>
        <v>8403</v>
      </c>
      <c r="AC7" s="85">
        <f ca="1">ROUND(MAX(0,NORMINV(RAND(), AC8, 'Assumption Table'!$C$10)),0)</f>
        <v>8546</v>
      </c>
      <c r="AD7" s="85">
        <f ca="1">ROUND(MAX(0,NORMINV(RAND(), AD8, 'Assumption Table'!$C$10)),0)</f>
        <v>8712</v>
      </c>
      <c r="AE7" s="85">
        <f ca="1">ROUND(MAX(0,NORMINV(RAND(), AE8, 'Assumption Table'!$C$10)),0)</f>
        <v>9045</v>
      </c>
      <c r="AF7" s="85">
        <f ca="1">ROUND(MAX(0,NORMINV(RAND(), AF8, 'Assumption Table'!$C$10)),0)</f>
        <v>8983</v>
      </c>
      <c r="AG7" s="85">
        <f ca="1">ROUND(MAX(0,NORMINV(RAND(), AG8, 'Assumption Table'!$C$10)),0)</f>
        <v>9293</v>
      </c>
      <c r="AH7" s="85">
        <f ca="1">ROUND(MAX(0,NORMINV(RAND(), AH8, 'Assumption Table'!$C$10)),0)</f>
        <v>9262</v>
      </c>
      <c r="AI7" s="85">
        <f ca="1">ROUND(MAX(0,NORMINV(RAND(), AI8, 'Assumption Table'!$C$10)),0)</f>
        <v>9665</v>
      </c>
      <c r="AJ7" s="85">
        <f ca="1">ROUND(MAX(0,NORMINV(RAND(), AJ8, 'Assumption Table'!$C$10)),0)</f>
        <v>9721</v>
      </c>
      <c r="AK7" s="85">
        <f ca="1">ROUND(MAX(0,NORMINV(RAND(), AK8, 'Assumption Table'!$C$10)),0)</f>
        <v>10266</v>
      </c>
      <c r="AL7" s="85">
        <f ca="1">ROUND(MAX(0,NORMINV(RAND(), AL8, 'Assumption Table'!$C$10)),0)</f>
        <v>10192</v>
      </c>
      <c r="AM7" s="85">
        <f ca="1">ROUND(MAX(0,NORMINV(RAND(), AM8, 'Assumption Table'!$C$10)),0)</f>
        <v>10239</v>
      </c>
      <c r="AN7" s="85">
        <f ca="1">ROUND(MAX(0,NORMINV(RAND(), AN8, 'Assumption Table'!$C$10)),0)</f>
        <v>10485</v>
      </c>
      <c r="AO7" s="85">
        <f ca="1">ROUND(MAX(0,NORMINV(RAND(), AO8, 'Assumption Table'!$C$10)),0)</f>
        <v>10520</v>
      </c>
      <c r="AP7" s="85">
        <f ca="1">ROUND(MAX(0,NORMINV(RAND(), AP8, 'Assumption Table'!$C$10)),0)</f>
        <v>10969</v>
      </c>
      <c r="AQ7" s="85">
        <f ca="1">ROUND(MAX(0,NORMINV(RAND(), AQ8, 'Assumption Table'!$C$10)),0)</f>
        <v>11398</v>
      </c>
      <c r="AR7" s="85">
        <f ca="1">ROUND(MAX(0,NORMINV(RAND(), AR8, 'Assumption Table'!$C$10)),0)</f>
        <v>11506</v>
      </c>
      <c r="AS7" s="85">
        <f ca="1">ROUND(MAX(0,NORMINV(RAND(), AS8, 'Assumption Table'!$C$10)),0)</f>
        <v>11717</v>
      </c>
      <c r="AT7" s="85">
        <f ca="1">ROUND(MAX(0,NORMINV(RAND(), AT8, 'Assumption Table'!$C$10)),0)</f>
        <v>12260</v>
      </c>
      <c r="AU7" s="85">
        <f ca="1">ROUND(MAX(0,NORMINV(RAND(), AU8, 'Assumption Table'!$C$10)),0)</f>
        <v>12201</v>
      </c>
      <c r="AV7" s="85">
        <f ca="1">ROUND(MAX(0,NORMINV(RAND(), AV8, 'Assumption Table'!$C$10)),0)</f>
        <v>12438</v>
      </c>
      <c r="AW7" s="85">
        <f ca="1">ROUND(MAX(0,NORMINV(RAND(), AW8, 'Assumption Table'!$C$10)),0)</f>
        <v>12563</v>
      </c>
      <c r="AX7" s="85">
        <f ca="1">ROUND(MAX(0,NORMINV(RAND(), AX8, 'Assumption Table'!$C$10)),0)</f>
        <v>12840</v>
      </c>
      <c r="AY7" s="85">
        <f ca="1">ROUND(MAX(0,NORMINV(RAND(), AY8, 'Assumption Table'!$C$10)),0)</f>
        <v>13283</v>
      </c>
      <c r="AZ7" s="85">
        <f ca="1">ROUND(MAX(0,NORMINV(RAND(), AZ8, 'Assumption Table'!$C$10)),0)</f>
        <v>13429</v>
      </c>
      <c r="BA7" s="85">
        <f ca="1">ROUND(MAX(0,NORMINV(RAND(), BA8, 'Assumption Table'!$C$10)),0)</f>
        <v>13835</v>
      </c>
      <c r="BB7" s="85">
        <f ca="1">ROUND(MAX(0,NORMINV(RAND(), BB8, 'Assumption Table'!$C$10)),0)</f>
        <v>13889</v>
      </c>
      <c r="BC7" s="85">
        <f ca="1">ROUND(MAX(0,NORMINV(RAND(), BC8, 'Assumption Table'!$C$10)),0)</f>
        <v>14246</v>
      </c>
      <c r="BD7" s="85">
        <f ca="1">ROUND(MAX(0,NORMINV(RAND(), BD8, 'Assumption Table'!$C$10)),0)</f>
        <v>14599</v>
      </c>
      <c r="BE7" s="85">
        <f ca="1">ROUND(MAX(0,NORMINV(RAND(), BE8, 'Assumption Table'!$C$10)),0)</f>
        <v>14607</v>
      </c>
      <c r="BF7" s="85">
        <f ca="1">ROUND(MAX(0,NORMINV(RAND(), BF8, 'Assumption Table'!$C$10)),0)</f>
        <v>15151</v>
      </c>
      <c r="BG7" s="85">
        <f ca="1">ROUND(MAX(0,NORMINV(RAND(), BG8, 'Assumption Table'!$C$10)),0)</f>
        <v>15477</v>
      </c>
      <c r="BH7" s="85">
        <f ca="1">ROUND(MAX(0,NORMINV(RAND(), BH8, 'Assumption Table'!$C$10)),0)</f>
        <v>15959</v>
      </c>
      <c r="BI7" s="86">
        <f ca="1">ROUND(MAX(0,NORMINV(RAND(), BI8, 'Assumption Table'!$C$10)),0)</f>
        <v>16135</v>
      </c>
      <c r="BJ7" s="87" t="str">
        <f>A7</f>
        <v>Paid Downloads</v>
      </c>
      <c r="BK7" s="85">
        <f ca="1">SUMIFS($B7:$BI7,$B$4:$BI$4,"&lt;=12")</f>
        <v>66699</v>
      </c>
      <c r="BL7" s="85">
        <f ca="1">SUMIFS($B7:$BI7,$B$4:$BI$4,"&lt;=24",$B$4:$BI$4,"&gt;12")</f>
        <v>85321</v>
      </c>
      <c r="BM7" s="85">
        <f ca="1">SUMIFS($B7:$BI7,$B$4:$BI$4,"&lt;=36",$B$4:$BI$4,"&gt;24")</f>
        <v>108341</v>
      </c>
      <c r="BN7" s="85">
        <f ca="1">SUMIFS($B7:$BI7,$B$4:$BI$4,"&lt;=48",$B$4:$BI$4,"&gt;36")</f>
        <v>136488</v>
      </c>
      <c r="BO7" s="85">
        <f ca="1">SUMIFS($B7:$BI7,$B$4:$BI$4,"&lt;=60",$B$4:$BI$4,"&gt;48")</f>
        <v>173450</v>
      </c>
    </row>
    <row r="8" spans="1:67" ht="13.4" customHeight="1">
      <c r="A8" s="6" t="s">
        <v>212</v>
      </c>
      <c r="B8" s="85">
        <f>'Assumption Table'!C9</f>
        <v>5000</v>
      </c>
      <c r="C8" s="85">
        <f>ROUND(B8*(1+'Assumption Table'!$C$11),0)</f>
        <v>5100</v>
      </c>
      <c r="D8" s="85">
        <f>ROUND(C8*(1+'Assumption Table'!$C$11),0)</f>
        <v>5202</v>
      </c>
      <c r="E8" s="85">
        <f>ROUND(D8*(1+'Assumption Table'!$C$11),0)</f>
        <v>5306</v>
      </c>
      <c r="F8" s="85">
        <f>ROUND(E8*(1+'Assumption Table'!$C$11),0)</f>
        <v>5412</v>
      </c>
      <c r="G8" s="85">
        <f>ROUND(F8*(1+'Assumption Table'!$C$11),0)</f>
        <v>5520</v>
      </c>
      <c r="H8" s="85">
        <f>ROUND(G8*(1+'Assumption Table'!$C$11),0)</f>
        <v>5630</v>
      </c>
      <c r="I8" s="85">
        <f>ROUND(H8*(1+'Assumption Table'!$C$11),0)</f>
        <v>5743</v>
      </c>
      <c r="J8" s="85">
        <f>ROUND(I8*(1+'Assumption Table'!$C$11),0)</f>
        <v>5858</v>
      </c>
      <c r="K8" s="85">
        <f>ROUND(J8*(1+'Assumption Table'!$C$11),0)</f>
        <v>5975</v>
      </c>
      <c r="L8" s="85">
        <f>ROUND(K8*(1+'Assumption Table'!$C$11),0)</f>
        <v>6095</v>
      </c>
      <c r="M8" s="85">
        <f>ROUND(L8*(1+'Assumption Table'!$C$11),0)</f>
        <v>6217</v>
      </c>
      <c r="N8" s="85">
        <f>ROUND(M8*(1+'Assumption Table'!$C$11),0)</f>
        <v>6341</v>
      </c>
      <c r="O8" s="85">
        <f>ROUND(N8*(1+'Assumption Table'!$C$11),0)</f>
        <v>6468</v>
      </c>
      <c r="P8" s="85">
        <f>ROUND(O8*(1+'Assumption Table'!$C$11),0)</f>
        <v>6597</v>
      </c>
      <c r="Q8" s="85">
        <f>ROUND(P8*(1+'Assumption Table'!$C$11),0)</f>
        <v>6729</v>
      </c>
      <c r="R8" s="85">
        <f>ROUND(Q8*(1+'Assumption Table'!$C$11),0)</f>
        <v>6864</v>
      </c>
      <c r="S8" s="85">
        <f>ROUND(R8*(1+'Assumption Table'!$C$11),0)</f>
        <v>7001</v>
      </c>
      <c r="T8" s="85">
        <f>ROUND(S8*(1+'Assumption Table'!$C$11),0)</f>
        <v>7141</v>
      </c>
      <c r="U8" s="85">
        <f>ROUND(T8*(1+'Assumption Table'!$C$11),0)</f>
        <v>7284</v>
      </c>
      <c r="V8" s="85">
        <f>ROUND(U8*(1+'Assumption Table'!$C$11),0)</f>
        <v>7430</v>
      </c>
      <c r="W8" s="85">
        <f>ROUND(V8*(1+'Assumption Table'!$C$11),0)</f>
        <v>7579</v>
      </c>
      <c r="X8" s="85">
        <f>ROUND(W8*(1+'Assumption Table'!$C$11),0)</f>
        <v>7731</v>
      </c>
      <c r="Y8" s="85">
        <f>ROUND(X8*(1+'Assumption Table'!$C$11),0)</f>
        <v>7886</v>
      </c>
      <c r="Z8" s="85">
        <f>ROUND(Y8*(1+'Assumption Table'!$C$11),0)</f>
        <v>8044</v>
      </c>
      <c r="AA8" s="85">
        <f>ROUND(Z8*(1+'Assumption Table'!$C$11),0)</f>
        <v>8205</v>
      </c>
      <c r="AB8" s="85">
        <f>ROUND(AA8*(1+'Assumption Table'!$C$11),0)</f>
        <v>8369</v>
      </c>
      <c r="AC8" s="85">
        <f>ROUND(AB8*(1+'Assumption Table'!$C$11),0)</f>
        <v>8536</v>
      </c>
      <c r="AD8" s="85">
        <f>ROUND(AC8*(1+'Assumption Table'!$C$11),0)</f>
        <v>8707</v>
      </c>
      <c r="AE8" s="85">
        <f>ROUND(AD8*(1+'Assumption Table'!$C$11),0)</f>
        <v>8881</v>
      </c>
      <c r="AF8" s="85">
        <f>ROUND(AE8*(1+'Assumption Table'!$C$11),0)</f>
        <v>9059</v>
      </c>
      <c r="AG8" s="85">
        <f>ROUND(AF8*(1+'Assumption Table'!$C$11),0)</f>
        <v>9240</v>
      </c>
      <c r="AH8" s="85">
        <f>ROUND(AG8*(1+'Assumption Table'!$C$11),0)</f>
        <v>9425</v>
      </c>
      <c r="AI8" s="85">
        <f>ROUND(AH8*(1+'Assumption Table'!$C$11),0)</f>
        <v>9614</v>
      </c>
      <c r="AJ8" s="85">
        <f>ROUND(AI8*(1+'Assumption Table'!$C$11),0)</f>
        <v>9806</v>
      </c>
      <c r="AK8" s="85">
        <f>ROUND(AJ8*(1+'Assumption Table'!$C$11),0)</f>
        <v>10002</v>
      </c>
      <c r="AL8" s="85">
        <f>ROUND(AK8*(1+'Assumption Table'!$C$11),0)</f>
        <v>10202</v>
      </c>
      <c r="AM8" s="85">
        <f>ROUND(AL8*(1+'Assumption Table'!$C$11),0)</f>
        <v>10406</v>
      </c>
      <c r="AN8" s="85">
        <f>ROUND(AM8*(1+'Assumption Table'!$C$11),0)</f>
        <v>10614</v>
      </c>
      <c r="AO8" s="85">
        <f>ROUND(AN8*(1+'Assumption Table'!$C$11),0)</f>
        <v>10826</v>
      </c>
      <c r="AP8" s="85">
        <f>ROUND(AO8*(1+'Assumption Table'!$C$11),0)</f>
        <v>11043</v>
      </c>
      <c r="AQ8" s="85">
        <f>ROUND(AP8*(1+'Assumption Table'!$C$11),0)</f>
        <v>11264</v>
      </c>
      <c r="AR8" s="85">
        <f>ROUND(AQ8*(1+'Assumption Table'!$C$11),0)</f>
        <v>11489</v>
      </c>
      <c r="AS8" s="85">
        <f>ROUND(AR8*(1+'Assumption Table'!$C$11),0)</f>
        <v>11719</v>
      </c>
      <c r="AT8" s="85">
        <f>ROUND(AS8*(1+'Assumption Table'!$C$11),0)</f>
        <v>11953</v>
      </c>
      <c r="AU8" s="85">
        <f>ROUND(AT8*(1+'Assumption Table'!$C$11),0)</f>
        <v>12192</v>
      </c>
      <c r="AV8" s="85">
        <f>ROUND(AU8*(1+'Assumption Table'!$C$11),0)</f>
        <v>12436</v>
      </c>
      <c r="AW8" s="85">
        <f>ROUND(AV8*(1+'Assumption Table'!$C$11),0)</f>
        <v>12685</v>
      </c>
      <c r="AX8" s="85">
        <f>ROUND(AW8*(1+'Assumption Table'!$C$11),0)</f>
        <v>12939</v>
      </c>
      <c r="AY8" s="85">
        <f>ROUND(AX8*(1+'Assumption Table'!$C$11),0)</f>
        <v>13198</v>
      </c>
      <c r="AZ8" s="85">
        <f>ROUND(AY8*(1+'Assumption Table'!$C$11),0)</f>
        <v>13462</v>
      </c>
      <c r="BA8" s="85">
        <f>ROUND(AZ8*(1+'Assumption Table'!$C$11),0)</f>
        <v>13731</v>
      </c>
      <c r="BB8" s="85">
        <f>ROUND(BA8*(1+'Assumption Table'!$C$11),0)</f>
        <v>14006</v>
      </c>
      <c r="BC8" s="85">
        <f>ROUND(BB8*(1+'Assumption Table'!$C$11),0)</f>
        <v>14286</v>
      </c>
      <c r="BD8" s="85">
        <f>ROUND(BC8*(1+'Assumption Table'!$C$11),0)</f>
        <v>14572</v>
      </c>
      <c r="BE8" s="85">
        <f>ROUND(BD8*(1+'Assumption Table'!$C$11),0)</f>
        <v>14863</v>
      </c>
      <c r="BF8" s="85">
        <f>ROUND(BE8*(1+'Assumption Table'!$C$11),0)</f>
        <v>15160</v>
      </c>
      <c r="BG8" s="85">
        <f>ROUND(BF8*(1+'Assumption Table'!$C$11),0)</f>
        <v>15463</v>
      </c>
      <c r="BH8" s="85">
        <f>ROUND(BG8*(1+'Assumption Table'!$C$11),0)</f>
        <v>15772</v>
      </c>
      <c r="BI8" s="86">
        <f>ROUND(BH8*(1+'Assumption Table'!$C$11),0)</f>
        <v>16087</v>
      </c>
      <c r="BJ8" s="87"/>
      <c r="BK8" s="85"/>
      <c r="BL8" s="85"/>
      <c r="BM8" s="85"/>
      <c r="BN8" s="85"/>
      <c r="BO8" s="85"/>
    </row>
    <row r="9" spans="1:67" ht="13.4" customHeight="1">
      <c r="A9" s="22" t="s">
        <v>214</v>
      </c>
      <c r="B9" s="85">
        <f t="shared" ref="B9:AG9" ca="1" si="2">SUM(B5,B7)</f>
        <v>16128</v>
      </c>
      <c r="C9" s="85">
        <f t="shared" ca="1" si="2"/>
        <v>15553</v>
      </c>
      <c r="D9" s="85">
        <f t="shared" ca="1" si="2"/>
        <v>15155</v>
      </c>
      <c r="E9" s="85">
        <f t="shared" ca="1" si="2"/>
        <v>15620</v>
      </c>
      <c r="F9" s="85">
        <f t="shared" ca="1" si="2"/>
        <v>14870</v>
      </c>
      <c r="G9" s="85">
        <f t="shared" ca="1" si="2"/>
        <v>16113</v>
      </c>
      <c r="H9" s="85">
        <f t="shared" ca="1" si="2"/>
        <v>17572</v>
      </c>
      <c r="I9" s="85">
        <f t="shared" ca="1" si="2"/>
        <v>15897</v>
      </c>
      <c r="J9" s="85">
        <f t="shared" ca="1" si="2"/>
        <v>16968</v>
      </c>
      <c r="K9" s="85">
        <f t="shared" ca="1" si="2"/>
        <v>18502</v>
      </c>
      <c r="L9" s="85">
        <f t="shared" ca="1" si="2"/>
        <v>17198</v>
      </c>
      <c r="M9" s="85">
        <f t="shared" ca="1" si="2"/>
        <v>17166</v>
      </c>
      <c r="N9" s="85">
        <f t="shared" ca="1" si="2"/>
        <v>20556</v>
      </c>
      <c r="O9" s="85">
        <f t="shared" ca="1" si="2"/>
        <v>19705</v>
      </c>
      <c r="P9" s="85">
        <f t="shared" ca="1" si="2"/>
        <v>18938</v>
      </c>
      <c r="Q9" s="85">
        <f t="shared" ca="1" si="2"/>
        <v>21037</v>
      </c>
      <c r="R9" s="85">
        <f t="shared" ca="1" si="2"/>
        <v>21529</v>
      </c>
      <c r="S9" s="85">
        <f t="shared" ca="1" si="2"/>
        <v>21088</v>
      </c>
      <c r="T9" s="85">
        <f t="shared" ca="1" si="2"/>
        <v>21147</v>
      </c>
      <c r="U9" s="85">
        <f t="shared" ca="1" si="2"/>
        <v>19326</v>
      </c>
      <c r="V9" s="85">
        <f t="shared" ca="1" si="2"/>
        <v>21685</v>
      </c>
      <c r="W9" s="85">
        <f t="shared" ca="1" si="2"/>
        <v>20860</v>
      </c>
      <c r="X9" s="85">
        <f t="shared" ca="1" si="2"/>
        <v>21795</v>
      </c>
      <c r="Y9" s="85">
        <f t="shared" ca="1" si="2"/>
        <v>23754</v>
      </c>
      <c r="Z9" s="85">
        <f t="shared" ca="1" si="2"/>
        <v>24440</v>
      </c>
      <c r="AA9" s="85">
        <f t="shared" ca="1" si="2"/>
        <v>24317</v>
      </c>
      <c r="AB9" s="85">
        <f t="shared" ca="1" si="2"/>
        <v>23765</v>
      </c>
      <c r="AC9" s="85">
        <f t="shared" ca="1" si="2"/>
        <v>24835</v>
      </c>
      <c r="AD9" s="85">
        <f t="shared" ca="1" si="2"/>
        <v>24917</v>
      </c>
      <c r="AE9" s="85">
        <f t="shared" ca="1" si="2"/>
        <v>25742</v>
      </c>
      <c r="AF9" s="85">
        <f t="shared" ca="1" si="2"/>
        <v>25934</v>
      </c>
      <c r="AG9" s="85">
        <f t="shared" ca="1" si="2"/>
        <v>28741</v>
      </c>
      <c r="AH9" s="85">
        <f t="shared" ref="AH9:BI9" ca="1" si="3">SUM(AH5,AH7)</f>
        <v>27932</v>
      </c>
      <c r="AI9" s="85">
        <f t="shared" ca="1" si="3"/>
        <v>28404</v>
      </c>
      <c r="AJ9" s="85">
        <f t="shared" ca="1" si="3"/>
        <v>30010</v>
      </c>
      <c r="AK9" s="85">
        <f t="shared" ca="1" si="3"/>
        <v>31175</v>
      </c>
      <c r="AL9" s="85">
        <f t="shared" ca="1" si="3"/>
        <v>31739</v>
      </c>
      <c r="AM9" s="85">
        <f t="shared" ca="1" si="3"/>
        <v>30384</v>
      </c>
      <c r="AN9" s="85">
        <f t="shared" ca="1" si="3"/>
        <v>31192</v>
      </c>
      <c r="AO9" s="85">
        <f t="shared" ca="1" si="3"/>
        <v>31650</v>
      </c>
      <c r="AP9" s="85">
        <f t="shared" ca="1" si="3"/>
        <v>31563</v>
      </c>
      <c r="AQ9" s="85">
        <f t="shared" ca="1" si="3"/>
        <v>34661</v>
      </c>
      <c r="AR9" s="85">
        <f t="shared" ca="1" si="3"/>
        <v>34850</v>
      </c>
      <c r="AS9" s="85">
        <f t="shared" ca="1" si="3"/>
        <v>34868</v>
      </c>
      <c r="AT9" s="85">
        <f t="shared" ca="1" si="3"/>
        <v>35683</v>
      </c>
      <c r="AU9" s="85">
        <f t="shared" ca="1" si="3"/>
        <v>35595</v>
      </c>
      <c r="AV9" s="85">
        <f t="shared" ca="1" si="3"/>
        <v>38998</v>
      </c>
      <c r="AW9" s="85">
        <f t="shared" ca="1" si="3"/>
        <v>37494</v>
      </c>
      <c r="AX9" s="85">
        <f t="shared" ca="1" si="3"/>
        <v>40864</v>
      </c>
      <c r="AY9" s="85">
        <f t="shared" ca="1" si="3"/>
        <v>38865</v>
      </c>
      <c r="AZ9" s="85">
        <f t="shared" ca="1" si="3"/>
        <v>41718</v>
      </c>
      <c r="BA9" s="85">
        <f t="shared" ca="1" si="3"/>
        <v>42483</v>
      </c>
      <c r="BB9" s="85">
        <f t="shared" ca="1" si="3"/>
        <v>42926</v>
      </c>
      <c r="BC9" s="85">
        <f t="shared" ca="1" si="3"/>
        <v>43520</v>
      </c>
      <c r="BD9" s="85">
        <f t="shared" ca="1" si="3"/>
        <v>44243</v>
      </c>
      <c r="BE9" s="85">
        <f t="shared" ca="1" si="3"/>
        <v>44228</v>
      </c>
      <c r="BF9" s="85">
        <f t="shared" ca="1" si="3"/>
        <v>46567</v>
      </c>
      <c r="BG9" s="85">
        <f t="shared" ca="1" si="3"/>
        <v>45350</v>
      </c>
      <c r="BH9" s="85">
        <f t="shared" ca="1" si="3"/>
        <v>48713</v>
      </c>
      <c r="BI9" s="86">
        <f t="shared" ca="1" si="3"/>
        <v>45774</v>
      </c>
      <c r="BJ9" s="88" t="str">
        <f>A9</f>
        <v>Total New Downloads</v>
      </c>
      <c r="BK9" s="85">
        <f ca="1">SUMIFS($B9:$BI9,$B$4:$BI$4,"&lt;=12")</f>
        <v>196742</v>
      </c>
      <c r="BL9" s="85">
        <f ca="1">SUMIFS($B9:$BI9,$B$4:$BI$4,"&lt;=24",$B$4:$BI$4,"&gt;12")</f>
        <v>251420</v>
      </c>
      <c r="BM9" s="85">
        <f ca="1">SUMIFS($B9:$BI9,$B$4:$BI$4,"&lt;=36",$B$4:$BI$4,"&gt;24")</f>
        <v>320212</v>
      </c>
      <c r="BN9" s="85">
        <f ca="1">SUMIFS($B9:$BI9,$B$4:$BI$4,"&lt;=48",$B$4:$BI$4,"&gt;36")</f>
        <v>408677</v>
      </c>
      <c r="BO9" s="85">
        <f ca="1">SUMIFS($B9:$BI9,$B$4:$BI$4,"&lt;=60",$B$4:$BI$4,"&gt;48")</f>
        <v>525251</v>
      </c>
    </row>
    <row r="10" spans="1:67" ht="13.4" customHeight="1">
      <c r="A10" s="89" t="s">
        <v>215</v>
      </c>
      <c r="B10" s="85">
        <f ca="1">B9</f>
        <v>16128</v>
      </c>
      <c r="C10" s="85">
        <f t="shared" ref="C10:AH10" ca="1" si="4">B10+C9</f>
        <v>31681</v>
      </c>
      <c r="D10" s="85">
        <f t="shared" ca="1" si="4"/>
        <v>46836</v>
      </c>
      <c r="E10" s="85">
        <f t="shared" ca="1" si="4"/>
        <v>62456</v>
      </c>
      <c r="F10" s="85">
        <f t="shared" ca="1" si="4"/>
        <v>77326</v>
      </c>
      <c r="G10" s="85">
        <f t="shared" ca="1" si="4"/>
        <v>93439</v>
      </c>
      <c r="H10" s="85">
        <f t="shared" ca="1" si="4"/>
        <v>111011</v>
      </c>
      <c r="I10" s="85">
        <f t="shared" ca="1" si="4"/>
        <v>126908</v>
      </c>
      <c r="J10" s="85">
        <f t="shared" ca="1" si="4"/>
        <v>143876</v>
      </c>
      <c r="K10" s="85">
        <f t="shared" ca="1" si="4"/>
        <v>162378</v>
      </c>
      <c r="L10" s="85">
        <f t="shared" ca="1" si="4"/>
        <v>179576</v>
      </c>
      <c r="M10" s="85">
        <f t="shared" ca="1" si="4"/>
        <v>196742</v>
      </c>
      <c r="N10" s="85">
        <f t="shared" ca="1" si="4"/>
        <v>217298</v>
      </c>
      <c r="O10" s="85">
        <f t="shared" ca="1" si="4"/>
        <v>237003</v>
      </c>
      <c r="P10" s="85">
        <f t="shared" ca="1" si="4"/>
        <v>255941</v>
      </c>
      <c r="Q10" s="85">
        <f t="shared" ca="1" si="4"/>
        <v>276978</v>
      </c>
      <c r="R10" s="85">
        <f t="shared" ca="1" si="4"/>
        <v>298507</v>
      </c>
      <c r="S10" s="85">
        <f t="shared" ca="1" si="4"/>
        <v>319595</v>
      </c>
      <c r="T10" s="85">
        <f t="shared" ca="1" si="4"/>
        <v>340742</v>
      </c>
      <c r="U10" s="85">
        <f t="shared" ca="1" si="4"/>
        <v>360068</v>
      </c>
      <c r="V10" s="85">
        <f t="shared" ca="1" si="4"/>
        <v>381753</v>
      </c>
      <c r="W10" s="85">
        <f t="shared" ca="1" si="4"/>
        <v>402613</v>
      </c>
      <c r="X10" s="85">
        <f t="shared" ca="1" si="4"/>
        <v>424408</v>
      </c>
      <c r="Y10" s="85">
        <f t="shared" ca="1" si="4"/>
        <v>448162</v>
      </c>
      <c r="Z10" s="85">
        <f t="shared" ca="1" si="4"/>
        <v>472602</v>
      </c>
      <c r="AA10" s="85">
        <f t="shared" ca="1" si="4"/>
        <v>496919</v>
      </c>
      <c r="AB10" s="85">
        <f t="shared" ca="1" si="4"/>
        <v>520684</v>
      </c>
      <c r="AC10" s="85">
        <f t="shared" ca="1" si="4"/>
        <v>545519</v>
      </c>
      <c r="AD10" s="85">
        <f t="shared" ca="1" si="4"/>
        <v>570436</v>
      </c>
      <c r="AE10" s="85">
        <f t="shared" ca="1" si="4"/>
        <v>596178</v>
      </c>
      <c r="AF10" s="85">
        <f t="shared" ca="1" si="4"/>
        <v>622112</v>
      </c>
      <c r="AG10" s="85">
        <f t="shared" ca="1" si="4"/>
        <v>650853</v>
      </c>
      <c r="AH10" s="85">
        <f t="shared" ca="1" si="4"/>
        <v>678785</v>
      </c>
      <c r="AI10" s="85">
        <f t="shared" ref="AI10:BN10" ca="1" si="5">AH10+AI9</f>
        <v>707189</v>
      </c>
      <c r="AJ10" s="85">
        <f t="shared" ca="1" si="5"/>
        <v>737199</v>
      </c>
      <c r="AK10" s="85">
        <f t="shared" ca="1" si="5"/>
        <v>768374</v>
      </c>
      <c r="AL10" s="85">
        <f t="shared" ca="1" si="5"/>
        <v>800113</v>
      </c>
      <c r="AM10" s="85">
        <f t="shared" ca="1" si="5"/>
        <v>830497</v>
      </c>
      <c r="AN10" s="85">
        <f t="shared" ca="1" si="5"/>
        <v>861689</v>
      </c>
      <c r="AO10" s="85">
        <f t="shared" ca="1" si="5"/>
        <v>893339</v>
      </c>
      <c r="AP10" s="85">
        <f t="shared" ca="1" si="5"/>
        <v>924902</v>
      </c>
      <c r="AQ10" s="85">
        <f t="shared" ca="1" si="5"/>
        <v>959563</v>
      </c>
      <c r="AR10" s="85">
        <f t="shared" ca="1" si="5"/>
        <v>994413</v>
      </c>
      <c r="AS10" s="85">
        <f t="shared" ca="1" si="5"/>
        <v>1029281</v>
      </c>
      <c r="AT10" s="85">
        <f t="shared" ca="1" si="5"/>
        <v>1064964</v>
      </c>
      <c r="AU10" s="85">
        <f t="shared" ca="1" si="5"/>
        <v>1100559</v>
      </c>
      <c r="AV10" s="85">
        <f t="shared" ca="1" si="5"/>
        <v>1139557</v>
      </c>
      <c r="AW10" s="85">
        <f t="shared" ca="1" si="5"/>
        <v>1177051</v>
      </c>
      <c r="AX10" s="85">
        <f t="shared" ca="1" si="5"/>
        <v>1217915</v>
      </c>
      <c r="AY10" s="85">
        <f t="shared" ca="1" si="5"/>
        <v>1256780</v>
      </c>
      <c r="AZ10" s="85">
        <f t="shared" ca="1" si="5"/>
        <v>1298498</v>
      </c>
      <c r="BA10" s="85">
        <f t="shared" ca="1" si="5"/>
        <v>1340981</v>
      </c>
      <c r="BB10" s="85">
        <f t="shared" ca="1" si="5"/>
        <v>1383907</v>
      </c>
      <c r="BC10" s="85">
        <f t="shared" ca="1" si="5"/>
        <v>1427427</v>
      </c>
      <c r="BD10" s="85">
        <f t="shared" ca="1" si="5"/>
        <v>1471670</v>
      </c>
      <c r="BE10" s="85">
        <f t="shared" ca="1" si="5"/>
        <v>1515898</v>
      </c>
      <c r="BF10" s="85">
        <f t="shared" ca="1" si="5"/>
        <v>1562465</v>
      </c>
      <c r="BG10" s="85">
        <f t="shared" ca="1" si="5"/>
        <v>1607815</v>
      </c>
      <c r="BH10" s="85">
        <f t="shared" ca="1" si="5"/>
        <v>1656528</v>
      </c>
      <c r="BI10" s="86">
        <f t="shared" ca="1" si="5"/>
        <v>1702302</v>
      </c>
      <c r="BJ10" s="90" t="str">
        <f>A10</f>
        <v>Cumulative Downloads</v>
      </c>
      <c r="BK10" s="85">
        <f ca="1">SUMIFS($B10:$BI10,$B$4:$BI$4,"=12")</f>
        <v>196742</v>
      </c>
      <c r="BL10" s="85">
        <f ca="1">SUMIFS($B10:$BI10,$B$4:$BI$4,"=24")</f>
        <v>448162</v>
      </c>
      <c r="BM10" s="85">
        <f ca="1">SUMIFS($B10:$BI10,$B$4:$BI$4,"=36")</f>
        <v>768374</v>
      </c>
      <c r="BN10" s="85">
        <f ca="1">SUMIFS($B10:$BI10,$B$4:$BI$4,"=48")</f>
        <v>1177051</v>
      </c>
      <c r="BO10" s="85">
        <f ca="1">SUMIFS($B10:$BI10,$B$4:$BI$4,"=60")</f>
        <v>1702302</v>
      </c>
    </row>
    <row r="11" spans="1:67" ht="13.4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9"/>
      <c r="BJ11" s="19">
        <f>A11</f>
        <v>0</v>
      </c>
      <c r="BK11" s="6"/>
      <c r="BL11" s="6"/>
      <c r="BM11" s="6"/>
      <c r="BN11" s="6"/>
      <c r="BO11" s="6"/>
    </row>
    <row r="12" spans="1:67" ht="13.4" customHeight="1">
      <c r="A12" s="6" t="s">
        <v>216</v>
      </c>
      <c r="B12" s="16">
        <f ca="1">MAX(0, MIN(1, NORMINV(RAND(), 'Assumption Table'!$C$13, 'Assumption Table'!$C$14)))</f>
        <v>0.47590205839272837</v>
      </c>
      <c r="C12" s="16">
        <f ca="1">MAX(0, MIN(1, NORMINV(RAND(), 'Assumption Table'!$C$13, 'Assumption Table'!$C$14)))</f>
        <v>0.53473812326716286</v>
      </c>
      <c r="D12" s="16">
        <f ca="1">MAX(0, MIN(1, NORMINV(RAND(), 'Assumption Table'!$C$13, 'Assumption Table'!$C$14)))</f>
        <v>0.56285625634648007</v>
      </c>
      <c r="E12" s="16">
        <f ca="1">MAX(0, MIN(1, NORMINV(RAND(), 'Assumption Table'!$C$13, 'Assumption Table'!$C$14)))</f>
        <v>0.40676653881714253</v>
      </c>
      <c r="F12" s="16">
        <f ca="1">MAX(0, MIN(1, NORMINV(RAND(), 'Assumption Table'!$C$13, 'Assumption Table'!$C$14)))</f>
        <v>0.54053541703121699</v>
      </c>
      <c r="G12" s="16">
        <f ca="1">MAX(0, MIN(1, NORMINV(RAND(), 'Assumption Table'!$C$13, 'Assumption Table'!$C$14)))</f>
        <v>0.51296365359965057</v>
      </c>
      <c r="H12" s="16">
        <f ca="1">MAX(0, MIN(1, NORMINV(RAND(), 'Assumption Table'!$C$13, 'Assumption Table'!$C$14)))</f>
        <v>0.48736058988570724</v>
      </c>
      <c r="I12" s="16">
        <f ca="1">MAX(0, MIN(1, NORMINV(RAND(), 'Assumption Table'!$C$13, 'Assumption Table'!$C$14)))</f>
        <v>0.52229977880997858</v>
      </c>
      <c r="J12" s="16">
        <f ca="1">MAX(0, MIN(1, NORMINV(RAND(), 'Assumption Table'!$C$13, 'Assumption Table'!$C$14)))</f>
        <v>0.52469277396800695</v>
      </c>
      <c r="K12" s="16">
        <f ca="1">MAX(0, MIN(1, NORMINV(RAND(), 'Assumption Table'!$C$13, 'Assumption Table'!$C$14)))</f>
        <v>0.55105936397163513</v>
      </c>
      <c r="L12" s="16">
        <f ca="1">MAX(0, MIN(1, NORMINV(RAND(), 'Assumption Table'!$C$13, 'Assumption Table'!$C$14)))</f>
        <v>0.52960294634499372</v>
      </c>
      <c r="M12" s="16">
        <f ca="1">MAX(0, MIN(1, NORMINV(RAND(), 'Assumption Table'!$C$13, 'Assumption Table'!$C$14)))</f>
        <v>0.38951140346904484</v>
      </c>
      <c r="N12" s="16">
        <f ca="1">MAX(0, MIN(1, NORMINV(RAND(), 'Assumption Table'!$C$13, 'Assumption Table'!$C$14)))</f>
        <v>0.62937804653381146</v>
      </c>
      <c r="O12" s="16">
        <f ca="1">MAX(0, MIN(1, NORMINV(RAND(), 'Assumption Table'!$C$13, 'Assumption Table'!$C$14)))</f>
        <v>0.49306786895034443</v>
      </c>
      <c r="P12" s="16">
        <f ca="1">MAX(0, MIN(1, NORMINV(RAND(), 'Assumption Table'!$C$13, 'Assumption Table'!$C$14)))</f>
        <v>0.63623311571396379</v>
      </c>
      <c r="Q12" s="16">
        <f ca="1">MAX(0, MIN(1, NORMINV(RAND(), 'Assumption Table'!$C$13, 'Assumption Table'!$C$14)))</f>
        <v>0.62096838995786374</v>
      </c>
      <c r="R12" s="16">
        <f ca="1">MAX(0, MIN(1, NORMINV(RAND(), 'Assumption Table'!$C$13, 'Assumption Table'!$C$14)))</f>
        <v>0.51017455698704084</v>
      </c>
      <c r="S12" s="16">
        <f ca="1">MAX(0, MIN(1, NORMINV(RAND(), 'Assumption Table'!$C$13, 'Assumption Table'!$C$14)))</f>
        <v>0.44989291191247094</v>
      </c>
      <c r="T12" s="16">
        <f ca="1">MAX(0, MIN(1, NORMINV(RAND(), 'Assumption Table'!$C$13, 'Assumption Table'!$C$14)))</f>
        <v>0.42089386096882964</v>
      </c>
      <c r="U12" s="16">
        <f ca="1">MAX(0, MIN(1, NORMINV(RAND(), 'Assumption Table'!$C$13, 'Assumption Table'!$C$14)))</f>
        <v>0.5409899949303465</v>
      </c>
      <c r="V12" s="16">
        <f ca="1">MAX(0, MIN(1, NORMINV(RAND(), 'Assumption Table'!$C$13, 'Assumption Table'!$C$14)))</f>
        <v>0.50680251819655886</v>
      </c>
      <c r="W12" s="16">
        <f ca="1">MAX(0, MIN(1, NORMINV(RAND(), 'Assumption Table'!$C$13, 'Assumption Table'!$C$14)))</f>
        <v>0.49117757524333849</v>
      </c>
      <c r="X12" s="16">
        <f ca="1">MAX(0, MIN(1, NORMINV(RAND(), 'Assumption Table'!$C$13, 'Assumption Table'!$C$14)))</f>
        <v>0.63977604022423762</v>
      </c>
      <c r="Y12" s="16">
        <f ca="1">MAX(0, MIN(1, NORMINV(RAND(), 'Assumption Table'!$C$13, 'Assumption Table'!$C$14)))</f>
        <v>0.48116315297947398</v>
      </c>
      <c r="Z12" s="16">
        <f ca="1">MAX(0, MIN(1, NORMINV(RAND(), 'Assumption Table'!$C$13, 'Assumption Table'!$C$14)))</f>
        <v>0.58465203250299858</v>
      </c>
      <c r="AA12" s="16">
        <f ca="1">MAX(0, MIN(1, NORMINV(RAND(), 'Assumption Table'!$C$13, 'Assumption Table'!$C$14)))</f>
        <v>0.54574468413537214</v>
      </c>
      <c r="AB12" s="16">
        <f ca="1">MAX(0, MIN(1, NORMINV(RAND(), 'Assumption Table'!$C$13, 'Assumption Table'!$C$14)))</f>
        <v>0.37963272687186483</v>
      </c>
      <c r="AC12" s="16">
        <f ca="1">MAX(0, MIN(1, NORMINV(RAND(), 'Assumption Table'!$C$13, 'Assumption Table'!$C$14)))</f>
        <v>0.71404985150363898</v>
      </c>
      <c r="AD12" s="16">
        <f ca="1">MAX(0, MIN(1, NORMINV(RAND(), 'Assumption Table'!$C$13, 'Assumption Table'!$C$14)))</f>
        <v>0.55216759462667808</v>
      </c>
      <c r="AE12" s="16">
        <f ca="1">MAX(0, MIN(1, NORMINV(RAND(), 'Assumption Table'!$C$13, 'Assumption Table'!$C$14)))</f>
        <v>0.75452735789760861</v>
      </c>
      <c r="AF12" s="16">
        <f ca="1">MAX(0, MIN(1, NORMINV(RAND(), 'Assumption Table'!$C$13, 'Assumption Table'!$C$14)))</f>
        <v>0.44345918784952038</v>
      </c>
      <c r="AG12" s="16">
        <f ca="1">MAX(0, MIN(1, NORMINV(RAND(), 'Assumption Table'!$C$13, 'Assumption Table'!$C$14)))</f>
        <v>0.33128331045728132</v>
      </c>
      <c r="AH12" s="16">
        <f ca="1">MAX(0, MIN(1, NORMINV(RAND(), 'Assumption Table'!$C$13, 'Assumption Table'!$C$14)))</f>
        <v>0.37682592691851452</v>
      </c>
      <c r="AI12" s="16">
        <f ca="1">MAX(0, MIN(1, NORMINV(RAND(), 'Assumption Table'!$C$13, 'Assumption Table'!$C$14)))</f>
        <v>0.42232279129159472</v>
      </c>
      <c r="AJ12" s="16">
        <f ca="1">MAX(0, MIN(1, NORMINV(RAND(), 'Assumption Table'!$C$13, 'Assumption Table'!$C$14)))</f>
        <v>0.65283281154580897</v>
      </c>
      <c r="AK12" s="16">
        <f ca="1">MAX(0, MIN(1, NORMINV(RAND(), 'Assumption Table'!$C$13, 'Assumption Table'!$C$14)))</f>
        <v>0.39079044269567526</v>
      </c>
      <c r="AL12" s="16">
        <f ca="1">MAX(0, MIN(1, NORMINV(RAND(), 'Assumption Table'!$C$13, 'Assumption Table'!$C$14)))</f>
        <v>0.66882027056772553</v>
      </c>
      <c r="AM12" s="16">
        <f ca="1">MAX(0, MIN(1, NORMINV(RAND(), 'Assumption Table'!$C$13, 'Assumption Table'!$C$14)))</f>
        <v>0.67825182871205969</v>
      </c>
      <c r="AN12" s="16">
        <f ca="1">MAX(0, MIN(1, NORMINV(RAND(), 'Assumption Table'!$C$13, 'Assumption Table'!$C$14)))</f>
        <v>0.69059032883352633</v>
      </c>
      <c r="AO12" s="16">
        <f ca="1">MAX(0, MIN(1, NORMINV(RAND(), 'Assumption Table'!$C$13, 'Assumption Table'!$C$14)))</f>
        <v>0.52260390339982166</v>
      </c>
      <c r="AP12" s="16">
        <f ca="1">MAX(0, MIN(1, NORMINV(RAND(), 'Assumption Table'!$C$13, 'Assumption Table'!$C$14)))</f>
        <v>0.32940030961093125</v>
      </c>
      <c r="AQ12" s="16">
        <f ca="1">MAX(0, MIN(1, NORMINV(RAND(), 'Assumption Table'!$C$13, 'Assumption Table'!$C$14)))</f>
        <v>0.39431710667200592</v>
      </c>
      <c r="AR12" s="16">
        <f ca="1">MAX(0, MIN(1, NORMINV(RAND(), 'Assumption Table'!$C$13, 'Assumption Table'!$C$14)))</f>
        <v>0.46664092827174708</v>
      </c>
      <c r="AS12" s="16">
        <f ca="1">MAX(0, MIN(1, NORMINV(RAND(), 'Assumption Table'!$C$13, 'Assumption Table'!$C$14)))</f>
        <v>0.47585581344164801</v>
      </c>
      <c r="AT12" s="16">
        <f ca="1">MAX(0, MIN(1, NORMINV(RAND(), 'Assumption Table'!$C$13, 'Assumption Table'!$C$14)))</f>
        <v>0.46437014661752163</v>
      </c>
      <c r="AU12" s="16">
        <f ca="1">MAX(0, MIN(1, NORMINV(RAND(), 'Assumption Table'!$C$13, 'Assumption Table'!$C$14)))</f>
        <v>0.49412871641842399</v>
      </c>
      <c r="AV12" s="16">
        <f ca="1">MAX(0, MIN(1, NORMINV(RAND(), 'Assumption Table'!$C$13, 'Assumption Table'!$C$14)))</f>
        <v>0.6067884669667829</v>
      </c>
      <c r="AW12" s="16">
        <f ca="1">MAX(0, MIN(1, NORMINV(RAND(), 'Assumption Table'!$C$13, 'Assumption Table'!$C$14)))</f>
        <v>0.37914690567697867</v>
      </c>
      <c r="AX12" s="16">
        <f ca="1">MAX(0, MIN(1, NORMINV(RAND(), 'Assumption Table'!$C$13, 'Assumption Table'!$C$14)))</f>
        <v>0.4602629296618112</v>
      </c>
      <c r="AY12" s="16">
        <f ca="1">MAX(0, MIN(1, NORMINV(RAND(), 'Assumption Table'!$C$13, 'Assumption Table'!$C$14)))</f>
        <v>0.47505562413141611</v>
      </c>
      <c r="AZ12" s="16">
        <f ca="1">MAX(0, MIN(1, NORMINV(RAND(), 'Assumption Table'!$C$13, 'Assumption Table'!$C$14)))</f>
        <v>0.49279754125495018</v>
      </c>
      <c r="BA12" s="16">
        <f ca="1">MAX(0, MIN(1, NORMINV(RAND(), 'Assumption Table'!$C$13, 'Assumption Table'!$C$14)))</f>
        <v>0.4527691406752381</v>
      </c>
      <c r="BB12" s="16">
        <f ca="1">MAX(0, MIN(1, NORMINV(RAND(), 'Assumption Table'!$C$13, 'Assumption Table'!$C$14)))</f>
        <v>0.41944005905786458</v>
      </c>
      <c r="BC12" s="16">
        <f ca="1">MAX(0, MIN(1, NORMINV(RAND(), 'Assumption Table'!$C$13, 'Assumption Table'!$C$14)))</f>
        <v>0.46547723141608843</v>
      </c>
      <c r="BD12" s="16">
        <f ca="1">MAX(0, MIN(1, NORMINV(RAND(), 'Assumption Table'!$C$13, 'Assumption Table'!$C$14)))</f>
        <v>0.5836311964125227</v>
      </c>
      <c r="BE12" s="16">
        <f ca="1">MAX(0, MIN(1, NORMINV(RAND(), 'Assumption Table'!$C$13, 'Assumption Table'!$C$14)))</f>
        <v>0.6371865840082539</v>
      </c>
      <c r="BF12" s="16">
        <f ca="1">MAX(0, MIN(1, NORMINV(RAND(), 'Assumption Table'!$C$13, 'Assumption Table'!$C$14)))</f>
        <v>0.64428396334314963</v>
      </c>
      <c r="BG12" s="16">
        <f ca="1">MAX(0, MIN(1, NORMINV(RAND(), 'Assumption Table'!$C$13, 'Assumption Table'!$C$14)))</f>
        <v>0.54312556179227078</v>
      </c>
      <c r="BH12" s="16">
        <f ca="1">MAX(0, MIN(1, NORMINV(RAND(), 'Assumption Table'!$C$13, 'Assumption Table'!$C$14)))</f>
        <v>0.37052265480728519</v>
      </c>
      <c r="BI12" s="91">
        <f ca="1">MAX(0, MIN(1, NORMINV(RAND(), 'Assumption Table'!$C$13, 'Assumption Table'!$C$14)))</f>
        <v>0.57144062663143602</v>
      </c>
      <c r="BJ12" s="19"/>
      <c r="BK12" s="16"/>
      <c r="BL12" s="16"/>
      <c r="BM12" s="16"/>
      <c r="BN12" s="16"/>
      <c r="BO12" s="16"/>
    </row>
    <row r="13" spans="1:67" ht="15" customHeight="1">
      <c r="A13" s="6" t="s">
        <v>217</v>
      </c>
      <c r="B13" s="16">
        <f t="shared" ref="B13:AG13" ca="1" si="6">1-B12</f>
        <v>0.52409794160727163</v>
      </c>
      <c r="C13" s="16">
        <f t="shared" ca="1" si="6"/>
        <v>0.46526187673283714</v>
      </c>
      <c r="D13" s="16">
        <f t="shared" ca="1" si="6"/>
        <v>0.43714374365351993</v>
      </c>
      <c r="E13" s="16">
        <f t="shared" ca="1" si="6"/>
        <v>0.59323346118285747</v>
      </c>
      <c r="F13" s="16">
        <f t="shared" ca="1" si="6"/>
        <v>0.45946458296878301</v>
      </c>
      <c r="G13" s="16">
        <f t="shared" ca="1" si="6"/>
        <v>0.48703634640034943</v>
      </c>
      <c r="H13" s="16">
        <f t="shared" ca="1" si="6"/>
        <v>0.51263941011429282</v>
      </c>
      <c r="I13" s="16">
        <f t="shared" ca="1" si="6"/>
        <v>0.47770022119002142</v>
      </c>
      <c r="J13" s="16">
        <f t="shared" ca="1" si="6"/>
        <v>0.47530722603199305</v>
      </c>
      <c r="K13" s="16">
        <f t="shared" ca="1" si="6"/>
        <v>0.44894063602836487</v>
      </c>
      <c r="L13" s="16">
        <f t="shared" ca="1" si="6"/>
        <v>0.47039705365500628</v>
      </c>
      <c r="M13" s="16">
        <f t="shared" ca="1" si="6"/>
        <v>0.61048859653095522</v>
      </c>
      <c r="N13" s="16">
        <f t="shared" ca="1" si="6"/>
        <v>0.37062195346618854</v>
      </c>
      <c r="O13" s="16">
        <f t="shared" ca="1" si="6"/>
        <v>0.50693213104965551</v>
      </c>
      <c r="P13" s="16">
        <f t="shared" ca="1" si="6"/>
        <v>0.36376688428603621</v>
      </c>
      <c r="Q13" s="16">
        <f t="shared" ca="1" si="6"/>
        <v>0.37903161004213626</v>
      </c>
      <c r="R13" s="16">
        <f t="shared" ca="1" si="6"/>
        <v>0.48982544301295916</v>
      </c>
      <c r="S13" s="16">
        <f t="shared" ca="1" si="6"/>
        <v>0.55010708808752906</v>
      </c>
      <c r="T13" s="16">
        <f t="shared" ca="1" si="6"/>
        <v>0.57910613903117036</v>
      </c>
      <c r="U13" s="16">
        <f t="shared" ca="1" si="6"/>
        <v>0.4590100050696535</v>
      </c>
      <c r="V13" s="16">
        <f t="shared" ca="1" si="6"/>
        <v>0.49319748180344114</v>
      </c>
      <c r="W13" s="16">
        <f t="shared" ca="1" si="6"/>
        <v>0.50882242475666151</v>
      </c>
      <c r="X13" s="16">
        <f t="shared" ca="1" si="6"/>
        <v>0.36022395977576238</v>
      </c>
      <c r="Y13" s="16">
        <f t="shared" ca="1" si="6"/>
        <v>0.51883684702052602</v>
      </c>
      <c r="Z13" s="16">
        <f t="shared" ca="1" si="6"/>
        <v>0.41534796749700142</v>
      </c>
      <c r="AA13" s="16">
        <f t="shared" ca="1" si="6"/>
        <v>0.45425531586462786</v>
      </c>
      <c r="AB13" s="16">
        <f t="shared" ca="1" si="6"/>
        <v>0.62036727312813511</v>
      </c>
      <c r="AC13" s="16">
        <f t="shared" ca="1" si="6"/>
        <v>0.28595014849636102</v>
      </c>
      <c r="AD13" s="16">
        <f t="shared" ca="1" si="6"/>
        <v>0.44783240537332192</v>
      </c>
      <c r="AE13" s="16">
        <f t="shared" ca="1" si="6"/>
        <v>0.24547264210239139</v>
      </c>
      <c r="AF13" s="16">
        <f t="shared" ca="1" si="6"/>
        <v>0.55654081215047957</v>
      </c>
      <c r="AG13" s="16">
        <f t="shared" ca="1" si="6"/>
        <v>0.66871668954271868</v>
      </c>
      <c r="AH13" s="16">
        <f t="shared" ref="AH13:BM13" ca="1" si="7">1-AH12</f>
        <v>0.62317407308148542</v>
      </c>
      <c r="AI13" s="16">
        <f t="shared" ca="1" si="7"/>
        <v>0.57767720870840522</v>
      </c>
      <c r="AJ13" s="16">
        <f t="shared" ca="1" si="7"/>
        <v>0.34716718845419103</v>
      </c>
      <c r="AK13" s="16">
        <f t="shared" ca="1" si="7"/>
        <v>0.6092095573043248</v>
      </c>
      <c r="AL13" s="16">
        <f t="shared" ca="1" si="7"/>
        <v>0.33117972943227447</v>
      </c>
      <c r="AM13" s="16">
        <f t="shared" ca="1" si="7"/>
        <v>0.32174817128794031</v>
      </c>
      <c r="AN13" s="16">
        <f t="shared" ca="1" si="7"/>
        <v>0.30940967116647367</v>
      </c>
      <c r="AO13" s="16">
        <f t="shared" ca="1" si="7"/>
        <v>0.47739609660017834</v>
      </c>
      <c r="AP13" s="16">
        <f t="shared" ca="1" si="7"/>
        <v>0.67059969038906875</v>
      </c>
      <c r="AQ13" s="16">
        <f t="shared" ca="1" si="7"/>
        <v>0.60568289332799408</v>
      </c>
      <c r="AR13" s="16">
        <f t="shared" ca="1" si="7"/>
        <v>0.53335907172825292</v>
      </c>
      <c r="AS13" s="16">
        <f t="shared" ca="1" si="7"/>
        <v>0.52414418655835204</v>
      </c>
      <c r="AT13" s="16">
        <f t="shared" ca="1" si="7"/>
        <v>0.53562985338247837</v>
      </c>
      <c r="AU13" s="16">
        <f t="shared" ca="1" si="7"/>
        <v>0.50587128358157596</v>
      </c>
      <c r="AV13" s="16">
        <f t="shared" ca="1" si="7"/>
        <v>0.3932115330332171</v>
      </c>
      <c r="AW13" s="16">
        <f t="shared" ca="1" si="7"/>
        <v>0.62085309432302127</v>
      </c>
      <c r="AX13" s="16">
        <f t="shared" ca="1" si="7"/>
        <v>0.53973707033818874</v>
      </c>
      <c r="AY13" s="16">
        <f t="shared" ca="1" si="7"/>
        <v>0.52494437586858389</v>
      </c>
      <c r="AZ13" s="16">
        <f t="shared" ca="1" si="7"/>
        <v>0.50720245874504988</v>
      </c>
      <c r="BA13" s="16">
        <f t="shared" ca="1" si="7"/>
        <v>0.5472308593247619</v>
      </c>
      <c r="BB13" s="16">
        <f t="shared" ca="1" si="7"/>
        <v>0.58055994094213537</v>
      </c>
      <c r="BC13" s="16">
        <f t="shared" ca="1" si="7"/>
        <v>0.53452276858391157</v>
      </c>
      <c r="BD13" s="16">
        <f t="shared" ca="1" si="7"/>
        <v>0.4163688035874773</v>
      </c>
      <c r="BE13" s="16">
        <f t="shared" ca="1" si="7"/>
        <v>0.3628134159917461</v>
      </c>
      <c r="BF13" s="16">
        <f t="shared" ca="1" si="7"/>
        <v>0.35571603665685037</v>
      </c>
      <c r="BG13" s="16">
        <f t="shared" ca="1" si="7"/>
        <v>0.45687443820772922</v>
      </c>
      <c r="BH13" s="16">
        <f t="shared" ca="1" si="7"/>
        <v>0.62947734519271481</v>
      </c>
      <c r="BI13" s="91">
        <f t="shared" ca="1" si="7"/>
        <v>0.42855937336856398</v>
      </c>
      <c r="BJ13" s="19"/>
      <c r="BK13" s="16"/>
      <c r="BL13" s="16"/>
      <c r="BM13" s="16"/>
      <c r="BN13" s="16"/>
      <c r="BO13" s="16"/>
    </row>
    <row r="14" spans="1:67" ht="13.4" customHeight="1">
      <c r="A14" s="89" t="s">
        <v>218</v>
      </c>
      <c r="B14" s="6">
        <f t="shared" ref="B14:AG14" ca="1" si="8">ROUND(B10*B12,0)</f>
        <v>7675</v>
      </c>
      <c r="C14" s="6">
        <f t="shared" ca="1" si="8"/>
        <v>16941</v>
      </c>
      <c r="D14" s="6">
        <f t="shared" ca="1" si="8"/>
        <v>26362</v>
      </c>
      <c r="E14" s="6">
        <f t="shared" ca="1" si="8"/>
        <v>25405</v>
      </c>
      <c r="F14" s="6">
        <f t="shared" ca="1" si="8"/>
        <v>41797</v>
      </c>
      <c r="G14" s="6">
        <f t="shared" ca="1" si="8"/>
        <v>47931</v>
      </c>
      <c r="H14" s="6">
        <f t="shared" ca="1" si="8"/>
        <v>54102</v>
      </c>
      <c r="I14" s="6">
        <f t="shared" ca="1" si="8"/>
        <v>66284</v>
      </c>
      <c r="J14" s="6">
        <f t="shared" ca="1" si="8"/>
        <v>75491</v>
      </c>
      <c r="K14" s="6">
        <f t="shared" ca="1" si="8"/>
        <v>89480</v>
      </c>
      <c r="L14" s="6">
        <f t="shared" ca="1" si="8"/>
        <v>95104</v>
      </c>
      <c r="M14" s="6">
        <f t="shared" ca="1" si="8"/>
        <v>76633</v>
      </c>
      <c r="N14" s="6">
        <f t="shared" ca="1" si="8"/>
        <v>136763</v>
      </c>
      <c r="O14" s="6">
        <f t="shared" ca="1" si="8"/>
        <v>116859</v>
      </c>
      <c r="P14" s="6">
        <f t="shared" ca="1" si="8"/>
        <v>162838</v>
      </c>
      <c r="Q14" s="6">
        <f t="shared" ca="1" si="8"/>
        <v>171995</v>
      </c>
      <c r="R14" s="6">
        <f t="shared" ca="1" si="8"/>
        <v>152291</v>
      </c>
      <c r="S14" s="6">
        <f t="shared" ca="1" si="8"/>
        <v>143784</v>
      </c>
      <c r="T14" s="6">
        <f t="shared" ca="1" si="8"/>
        <v>143416</v>
      </c>
      <c r="U14" s="6">
        <f t="shared" ca="1" si="8"/>
        <v>194793</v>
      </c>
      <c r="V14" s="6">
        <f t="shared" ca="1" si="8"/>
        <v>193473</v>
      </c>
      <c r="W14" s="6">
        <f t="shared" ca="1" si="8"/>
        <v>197754</v>
      </c>
      <c r="X14" s="6">
        <f t="shared" ca="1" si="8"/>
        <v>271526</v>
      </c>
      <c r="Y14" s="6">
        <f t="shared" ca="1" si="8"/>
        <v>215639</v>
      </c>
      <c r="Z14" s="6">
        <f t="shared" ca="1" si="8"/>
        <v>276308</v>
      </c>
      <c r="AA14" s="6">
        <f t="shared" ca="1" si="8"/>
        <v>271191</v>
      </c>
      <c r="AB14" s="6">
        <f t="shared" ca="1" si="8"/>
        <v>197669</v>
      </c>
      <c r="AC14" s="6">
        <f t="shared" ca="1" si="8"/>
        <v>389528</v>
      </c>
      <c r="AD14" s="6">
        <f t="shared" ca="1" si="8"/>
        <v>314976</v>
      </c>
      <c r="AE14" s="6">
        <f t="shared" ca="1" si="8"/>
        <v>449833</v>
      </c>
      <c r="AF14" s="6">
        <f t="shared" ca="1" si="8"/>
        <v>275881</v>
      </c>
      <c r="AG14" s="6">
        <f t="shared" ca="1" si="8"/>
        <v>215617</v>
      </c>
      <c r="AH14" s="6">
        <f t="shared" ref="AH14:BI14" ca="1" si="9">ROUND(AH10*AH12,0)</f>
        <v>255784</v>
      </c>
      <c r="AI14" s="6">
        <f t="shared" ca="1" si="9"/>
        <v>298662</v>
      </c>
      <c r="AJ14" s="6">
        <f t="shared" ca="1" si="9"/>
        <v>481268</v>
      </c>
      <c r="AK14" s="6">
        <f t="shared" ca="1" si="9"/>
        <v>300273</v>
      </c>
      <c r="AL14" s="6">
        <f t="shared" ca="1" si="9"/>
        <v>535132</v>
      </c>
      <c r="AM14" s="6">
        <f t="shared" ca="1" si="9"/>
        <v>563286</v>
      </c>
      <c r="AN14" s="6">
        <f t="shared" ca="1" si="9"/>
        <v>595074</v>
      </c>
      <c r="AO14" s="6">
        <f t="shared" ca="1" si="9"/>
        <v>466862</v>
      </c>
      <c r="AP14" s="6">
        <f t="shared" ca="1" si="9"/>
        <v>304663</v>
      </c>
      <c r="AQ14" s="6">
        <f t="shared" ca="1" si="9"/>
        <v>378372</v>
      </c>
      <c r="AR14" s="6">
        <f t="shared" ca="1" si="9"/>
        <v>464034</v>
      </c>
      <c r="AS14" s="6">
        <f t="shared" ca="1" si="9"/>
        <v>489789</v>
      </c>
      <c r="AT14" s="6">
        <f t="shared" ca="1" si="9"/>
        <v>494537</v>
      </c>
      <c r="AU14" s="6">
        <f t="shared" ca="1" si="9"/>
        <v>543818</v>
      </c>
      <c r="AV14" s="6">
        <f t="shared" ca="1" si="9"/>
        <v>691470</v>
      </c>
      <c r="AW14" s="6">
        <f t="shared" ca="1" si="9"/>
        <v>446275</v>
      </c>
      <c r="AX14" s="6">
        <f t="shared" ca="1" si="9"/>
        <v>560561</v>
      </c>
      <c r="AY14" s="6">
        <f t="shared" ca="1" si="9"/>
        <v>597040</v>
      </c>
      <c r="AZ14" s="6">
        <f t="shared" ca="1" si="9"/>
        <v>639897</v>
      </c>
      <c r="BA14" s="6">
        <f t="shared" ca="1" si="9"/>
        <v>607155</v>
      </c>
      <c r="BB14" s="6">
        <f t="shared" ca="1" si="9"/>
        <v>580466</v>
      </c>
      <c r="BC14" s="6">
        <f t="shared" ca="1" si="9"/>
        <v>664435</v>
      </c>
      <c r="BD14" s="6">
        <f t="shared" ca="1" si="9"/>
        <v>858913</v>
      </c>
      <c r="BE14" s="6">
        <f t="shared" ca="1" si="9"/>
        <v>965910</v>
      </c>
      <c r="BF14" s="6">
        <f t="shared" ca="1" si="9"/>
        <v>1006671</v>
      </c>
      <c r="BG14" s="6">
        <f t="shared" ca="1" si="9"/>
        <v>873245</v>
      </c>
      <c r="BH14" s="6">
        <f t="shared" ca="1" si="9"/>
        <v>613781</v>
      </c>
      <c r="BI14" s="9">
        <f t="shared" ca="1" si="9"/>
        <v>972765</v>
      </c>
      <c r="BJ14" s="92" t="str">
        <f t="shared" ref="BJ14:BJ22" si="10">A14</f>
        <v>Active Users</v>
      </c>
      <c r="BK14" s="6">
        <f ca="1">SUMIFS($B14:$BI14,$B$4:$BI$4,"=12")</f>
        <v>76633</v>
      </c>
      <c r="BL14" s="6">
        <f ca="1">SUMIFS($B14:$BI14,$B$4:$BI$4,"=24")</f>
        <v>215639</v>
      </c>
      <c r="BM14" s="6">
        <f ca="1">SUMIFS($B14:$BI14,$B$4:$BI$4,"=36")</f>
        <v>300273</v>
      </c>
      <c r="BN14" s="6">
        <f ca="1">SUMIFS($B14:$BI14,$B$4:$BI$4,"=48")</f>
        <v>446275</v>
      </c>
      <c r="BO14" s="6">
        <f ca="1">SUMIFS($B14:$BI14,$B$4:$BI$4,"=60")</f>
        <v>972765</v>
      </c>
    </row>
    <row r="15" spans="1:67" ht="13.4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13"/>
      <c r="BJ15" s="17">
        <f t="shared" si="10"/>
        <v>0</v>
      </c>
      <c r="BK15" s="4"/>
      <c r="BL15" s="4"/>
      <c r="BM15" s="4"/>
      <c r="BN15" s="4"/>
      <c r="BO15" s="4"/>
    </row>
    <row r="16" spans="1:67" ht="12.95" customHeight="1">
      <c r="A16" s="82" t="s">
        <v>219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3" t="str">
        <f t="shared" si="10"/>
        <v>Revenue Schedule</v>
      </c>
      <c r="BK16" s="84"/>
      <c r="BL16" s="84"/>
      <c r="BM16" s="84"/>
      <c r="BN16" s="84"/>
      <c r="BO16" s="84"/>
    </row>
    <row r="17" spans="1:67" ht="13.4" customHeight="1">
      <c r="A17" s="6"/>
      <c r="B17" s="79" t="s">
        <v>151</v>
      </c>
      <c r="C17" s="79" t="s">
        <v>152</v>
      </c>
      <c r="D17" s="79" t="s">
        <v>153</v>
      </c>
      <c r="E17" s="79" t="s">
        <v>154</v>
      </c>
      <c r="F17" s="79" t="s">
        <v>155</v>
      </c>
      <c r="G17" s="79" t="s">
        <v>156</v>
      </c>
      <c r="H17" s="79" t="s">
        <v>157</v>
      </c>
      <c r="I17" s="79" t="s">
        <v>158</v>
      </c>
      <c r="J17" s="79" t="s">
        <v>159</v>
      </c>
      <c r="K17" s="79" t="s">
        <v>160</v>
      </c>
      <c r="L17" s="79" t="s">
        <v>161</v>
      </c>
      <c r="M17" s="79" t="s">
        <v>162</v>
      </c>
      <c r="N17" s="79" t="s">
        <v>163</v>
      </c>
      <c r="O17" s="79" t="s">
        <v>164</v>
      </c>
      <c r="P17" s="79" t="s">
        <v>165</v>
      </c>
      <c r="Q17" s="79" t="s">
        <v>166</v>
      </c>
      <c r="R17" s="79" t="s">
        <v>167</v>
      </c>
      <c r="S17" s="79" t="s">
        <v>168</v>
      </c>
      <c r="T17" s="79" t="s">
        <v>169</v>
      </c>
      <c r="U17" s="79" t="s">
        <v>170</v>
      </c>
      <c r="V17" s="79" t="s">
        <v>171</v>
      </c>
      <c r="W17" s="79" t="s">
        <v>172</v>
      </c>
      <c r="X17" s="79" t="s">
        <v>173</v>
      </c>
      <c r="Y17" s="79" t="s">
        <v>174</v>
      </c>
      <c r="Z17" s="79" t="s">
        <v>175</v>
      </c>
      <c r="AA17" s="79" t="s">
        <v>176</v>
      </c>
      <c r="AB17" s="79" t="s">
        <v>177</v>
      </c>
      <c r="AC17" s="79" t="s">
        <v>178</v>
      </c>
      <c r="AD17" s="79" t="s">
        <v>179</v>
      </c>
      <c r="AE17" s="79" t="s">
        <v>180</v>
      </c>
      <c r="AF17" s="79" t="s">
        <v>181</v>
      </c>
      <c r="AG17" s="79" t="s">
        <v>182</v>
      </c>
      <c r="AH17" s="79" t="s">
        <v>183</v>
      </c>
      <c r="AI17" s="79" t="s">
        <v>184</v>
      </c>
      <c r="AJ17" s="79" t="s">
        <v>185</v>
      </c>
      <c r="AK17" s="79" t="s">
        <v>186</v>
      </c>
      <c r="AL17" s="79" t="s">
        <v>187</v>
      </c>
      <c r="AM17" s="79" t="s">
        <v>188</v>
      </c>
      <c r="AN17" s="79" t="s">
        <v>189</v>
      </c>
      <c r="AO17" s="79" t="s">
        <v>190</v>
      </c>
      <c r="AP17" s="79" t="s">
        <v>191</v>
      </c>
      <c r="AQ17" s="79" t="s">
        <v>192</v>
      </c>
      <c r="AR17" s="79" t="s">
        <v>193</v>
      </c>
      <c r="AS17" s="79" t="s">
        <v>194</v>
      </c>
      <c r="AT17" s="79" t="s">
        <v>195</v>
      </c>
      <c r="AU17" s="79" t="s">
        <v>196</v>
      </c>
      <c r="AV17" s="79" t="s">
        <v>197</v>
      </c>
      <c r="AW17" s="79" t="s">
        <v>198</v>
      </c>
      <c r="AX17" s="79" t="s">
        <v>199</v>
      </c>
      <c r="AY17" s="79" t="s">
        <v>200</v>
      </c>
      <c r="AZ17" s="79" t="s">
        <v>201</v>
      </c>
      <c r="BA17" s="79" t="s">
        <v>202</v>
      </c>
      <c r="BB17" s="79" t="s">
        <v>203</v>
      </c>
      <c r="BC17" s="79" t="s">
        <v>204</v>
      </c>
      <c r="BD17" s="79" t="s">
        <v>205</v>
      </c>
      <c r="BE17" s="79" t="s">
        <v>206</v>
      </c>
      <c r="BF17" s="79" t="s">
        <v>207</v>
      </c>
      <c r="BG17" s="79" t="s">
        <v>208</v>
      </c>
      <c r="BH17" s="79" t="s">
        <v>209</v>
      </c>
      <c r="BI17" s="80" t="s">
        <v>210</v>
      </c>
      <c r="BJ17" s="19">
        <f t="shared" si="10"/>
        <v>0</v>
      </c>
      <c r="BK17" s="81" t="s">
        <v>151</v>
      </c>
      <c r="BL17" s="81" t="s">
        <v>152</v>
      </c>
      <c r="BM17" s="81" t="s">
        <v>153</v>
      </c>
      <c r="BN17" s="81" t="s">
        <v>154</v>
      </c>
      <c r="BO17" s="81" t="s">
        <v>155</v>
      </c>
    </row>
    <row r="18" spans="1:67" ht="13.4" customHeight="1">
      <c r="A18" s="93" t="str">
        <f>'Assumption Table'!B17</f>
        <v>1.Licensing</v>
      </c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13"/>
      <c r="BJ18" s="94" t="str">
        <f t="shared" si="10"/>
        <v>1.Licensing</v>
      </c>
      <c r="BK18" s="6"/>
      <c r="BL18" s="6"/>
      <c r="BM18" s="6"/>
      <c r="BN18" s="6"/>
      <c r="BO18" s="6"/>
    </row>
    <row r="19" spans="1:67" ht="13.4" customHeight="1">
      <c r="A19" s="22" t="s">
        <v>220</v>
      </c>
      <c r="B19" s="27">
        <f ca="1">'Assumption Table'!$C$18*B9</f>
        <v>32094.720000000001</v>
      </c>
      <c r="C19" s="27">
        <f ca="1">'Assumption Table'!$C$18*C9</f>
        <v>30950.47</v>
      </c>
      <c r="D19" s="27">
        <f ca="1">'Assumption Table'!$C$18*D9</f>
        <v>30158.45</v>
      </c>
      <c r="E19" s="27">
        <f ca="1">'Assumption Table'!$C$18*E9</f>
        <v>31083.8</v>
      </c>
      <c r="F19" s="27">
        <f ca="1">'Assumption Table'!$C$18*F9</f>
        <v>29591.3</v>
      </c>
      <c r="G19" s="27">
        <f ca="1">'Assumption Table'!$C$18*G9</f>
        <v>32064.87</v>
      </c>
      <c r="H19" s="27">
        <f ca="1">'Assumption Table'!$C$18*H9</f>
        <v>34968.28</v>
      </c>
      <c r="I19" s="27">
        <f ca="1">'Assumption Table'!$C$18*I9</f>
        <v>31635.03</v>
      </c>
      <c r="J19" s="27">
        <f ca="1">'Assumption Table'!$C$18*J9</f>
        <v>33766.32</v>
      </c>
      <c r="K19" s="27">
        <f ca="1">'Assumption Table'!$C$18*K9</f>
        <v>36818.980000000003</v>
      </c>
      <c r="L19" s="27">
        <f ca="1">'Assumption Table'!$C$18*L9</f>
        <v>34224.019999999997</v>
      </c>
      <c r="M19" s="27">
        <f ca="1">'Assumption Table'!$C$18*M9</f>
        <v>34160.339999999997</v>
      </c>
      <c r="N19" s="27">
        <f ca="1">'Assumption Table'!$C$18*N9</f>
        <v>40906.44</v>
      </c>
      <c r="O19" s="27">
        <f ca="1">'Assumption Table'!$C$18*O9</f>
        <v>39212.949999999997</v>
      </c>
      <c r="P19" s="27">
        <f ca="1">'Assumption Table'!$C$18*P9</f>
        <v>37686.620000000003</v>
      </c>
      <c r="Q19" s="27">
        <f ca="1">'Assumption Table'!$C$18*Q9</f>
        <v>41863.629999999997</v>
      </c>
      <c r="R19" s="27">
        <f ca="1">'Assumption Table'!$C$18*R9</f>
        <v>42842.71</v>
      </c>
      <c r="S19" s="27">
        <f ca="1">'Assumption Table'!$C$18*S9</f>
        <v>41965.120000000003</v>
      </c>
      <c r="T19" s="27">
        <f ca="1">'Assumption Table'!$C$18*T9</f>
        <v>42082.53</v>
      </c>
      <c r="U19" s="27">
        <f ca="1">'Assumption Table'!$C$18*U9</f>
        <v>38458.74</v>
      </c>
      <c r="V19" s="27">
        <f ca="1">'Assumption Table'!$C$18*V9</f>
        <v>43153.15</v>
      </c>
      <c r="W19" s="27">
        <f ca="1">'Assumption Table'!$C$18*W9</f>
        <v>41511.4</v>
      </c>
      <c r="X19" s="27">
        <f ca="1">'Assumption Table'!$C$18*X9</f>
        <v>43372.05</v>
      </c>
      <c r="Y19" s="27">
        <f ca="1">'Assumption Table'!$C$18*Y9</f>
        <v>47270.46</v>
      </c>
      <c r="Z19" s="27">
        <f ca="1">'Assumption Table'!$C$18*Z9</f>
        <v>48635.6</v>
      </c>
      <c r="AA19" s="27">
        <f ca="1">'Assumption Table'!$C$18*AA9</f>
        <v>48390.83</v>
      </c>
      <c r="AB19" s="27">
        <f ca="1">'Assumption Table'!$C$18*AB9</f>
        <v>47292.35</v>
      </c>
      <c r="AC19" s="27">
        <f ca="1">'Assumption Table'!$C$18*AC9</f>
        <v>49421.65</v>
      </c>
      <c r="AD19" s="27">
        <f ca="1">'Assumption Table'!$C$18*AD9</f>
        <v>49584.83</v>
      </c>
      <c r="AE19" s="27">
        <f ca="1">'Assumption Table'!$C$18*AE9</f>
        <v>51226.58</v>
      </c>
      <c r="AF19" s="27">
        <f ca="1">'Assumption Table'!$C$18*AF9</f>
        <v>51608.659999999996</v>
      </c>
      <c r="AG19" s="27">
        <f ca="1">'Assumption Table'!$C$18*AG9</f>
        <v>57194.59</v>
      </c>
      <c r="AH19" s="27">
        <f ca="1">'Assumption Table'!$C$18*AH9</f>
        <v>55584.68</v>
      </c>
      <c r="AI19" s="27">
        <f ca="1">'Assumption Table'!$C$18*AI9</f>
        <v>56523.96</v>
      </c>
      <c r="AJ19" s="27">
        <f ca="1">'Assumption Table'!$C$18*AJ9</f>
        <v>59719.9</v>
      </c>
      <c r="AK19" s="27">
        <f ca="1">'Assumption Table'!$C$18*AK9</f>
        <v>62038.25</v>
      </c>
      <c r="AL19" s="27">
        <f ca="1">'Assumption Table'!$C$18*AL9</f>
        <v>63160.61</v>
      </c>
      <c r="AM19" s="27">
        <f ca="1">'Assumption Table'!$C$18*AM9</f>
        <v>60464.159999999996</v>
      </c>
      <c r="AN19" s="27">
        <f ca="1">'Assumption Table'!$C$18*AN9</f>
        <v>62072.08</v>
      </c>
      <c r="AO19" s="27">
        <f ca="1">'Assumption Table'!$C$18*AO9</f>
        <v>62983.5</v>
      </c>
      <c r="AP19" s="27">
        <f ca="1">'Assumption Table'!$C$18*AP9</f>
        <v>62810.37</v>
      </c>
      <c r="AQ19" s="27">
        <f ca="1">'Assumption Table'!$C$18*AQ9</f>
        <v>68975.39</v>
      </c>
      <c r="AR19" s="27">
        <f ca="1">'Assumption Table'!$C$18*AR9</f>
        <v>69351.5</v>
      </c>
      <c r="AS19" s="27">
        <f ca="1">'Assumption Table'!$C$18*AS9</f>
        <v>69387.319999999992</v>
      </c>
      <c r="AT19" s="27">
        <f ca="1">'Assumption Table'!$C$18*AT9</f>
        <v>71009.17</v>
      </c>
      <c r="AU19" s="27">
        <f ca="1">'Assumption Table'!$C$18*AU9</f>
        <v>70834.05</v>
      </c>
      <c r="AV19" s="27">
        <f ca="1">'Assumption Table'!$C$18*AV9</f>
        <v>77606.02</v>
      </c>
      <c r="AW19" s="27">
        <f ca="1">'Assumption Table'!$C$18*AW9</f>
        <v>74613.06</v>
      </c>
      <c r="AX19" s="27">
        <f ca="1">'Assumption Table'!$C$18*AX9</f>
        <v>81319.360000000001</v>
      </c>
      <c r="AY19" s="27">
        <f ca="1">'Assumption Table'!$C$18*AY9</f>
        <v>77341.350000000006</v>
      </c>
      <c r="AZ19" s="27">
        <f ca="1">'Assumption Table'!$C$18*AZ9</f>
        <v>83018.819999999992</v>
      </c>
      <c r="BA19" s="27">
        <f ca="1">'Assumption Table'!$C$18*BA9</f>
        <v>84541.17</v>
      </c>
      <c r="BB19" s="27">
        <f ca="1">'Assumption Table'!$C$18*BB9</f>
        <v>85422.74</v>
      </c>
      <c r="BC19" s="27">
        <f ca="1">'Assumption Table'!$C$18*BC9</f>
        <v>86604.800000000003</v>
      </c>
      <c r="BD19" s="27">
        <f ca="1">'Assumption Table'!$C$18*BD9</f>
        <v>88043.569999999992</v>
      </c>
      <c r="BE19" s="27">
        <f ca="1">'Assumption Table'!$C$18*BE9</f>
        <v>88013.72</v>
      </c>
      <c r="BF19" s="27">
        <f ca="1">'Assumption Table'!$C$18*BF9</f>
        <v>92668.33</v>
      </c>
      <c r="BG19" s="27">
        <f ca="1">'Assumption Table'!$C$18*BG9</f>
        <v>90246.5</v>
      </c>
      <c r="BH19" s="27">
        <f ca="1">'Assumption Table'!$C$18*BH9</f>
        <v>96938.87</v>
      </c>
      <c r="BI19" s="27">
        <f ca="1">'Assumption Table'!$C$18*BI9</f>
        <v>91090.26</v>
      </c>
      <c r="BJ19" s="21" t="str">
        <f t="shared" si="10"/>
        <v>Revenue from Licensing</v>
      </c>
      <c r="BK19" s="27">
        <f ca="1">SUMIFS($B19:$BI19,$B$4:$BI$4,"&lt;=12")</f>
        <v>391516.57999999996</v>
      </c>
      <c r="BL19" s="27">
        <f ca="1">SUMIFS($B19:$BI19,$B$4:$BI$4,"&lt;=24",$B$4:$BI$4,"&gt;12")</f>
        <v>500325.80000000005</v>
      </c>
      <c r="BM19" s="27">
        <f ca="1">SUMIFS($B19:$BI19,$B$4:$BI$4,"&lt;=36",$B$4:$BI$4,"&gt;24")</f>
        <v>637221.88</v>
      </c>
      <c r="BN19" s="27">
        <f ca="1">SUMIFS($B19:$BI19,$B$4:$BI$4,"&lt;=48",$B$4:$BI$4,"&gt;36")</f>
        <v>813267.23</v>
      </c>
      <c r="BO19" s="27">
        <f ca="1">SUMIFS($B19:$BI19,$B$4:$BI$4,"&lt;=60",$B$4:$BI$4,"&gt;48")</f>
        <v>1045249.4899999999</v>
      </c>
    </row>
    <row r="20" spans="1:67" ht="13.4" customHeight="1">
      <c r="A20" s="95"/>
      <c r="B20" s="6"/>
      <c r="C20" s="6"/>
      <c r="D20" s="6"/>
      <c r="E20" s="6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13"/>
      <c r="BJ20" s="96">
        <f t="shared" si="10"/>
        <v>0</v>
      </c>
      <c r="BK20" s="6"/>
      <c r="BL20" s="6"/>
      <c r="BM20" s="6"/>
      <c r="BN20" s="6"/>
      <c r="BO20" s="6"/>
    </row>
    <row r="21" spans="1:67" ht="13.4" customHeight="1">
      <c r="A21" s="93" t="str">
        <f>'Assumption Table'!B20</f>
        <v>2.Subscription</v>
      </c>
      <c r="B21" s="6"/>
      <c r="C21" s="6"/>
      <c r="D21" s="6"/>
      <c r="E21" s="6"/>
      <c r="F21" s="6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13"/>
      <c r="BJ21" s="94" t="str">
        <f t="shared" si="10"/>
        <v>2.Subscription</v>
      </c>
      <c r="BK21" s="6"/>
      <c r="BL21" s="6"/>
      <c r="BM21" s="6"/>
      <c r="BN21" s="6"/>
      <c r="BO21" s="6"/>
    </row>
    <row r="22" spans="1:67" ht="13.4" customHeight="1">
      <c r="A22" s="6" t="s">
        <v>221</v>
      </c>
      <c r="B22" s="27">
        <f ca="1">'Assumption Table'!$C$22*B23*B14</f>
        <v>35411.567362457805</v>
      </c>
      <c r="C22" s="27">
        <f ca="1">'Assumption Table'!$C$22*C23*C14</f>
        <v>70246.789743655929</v>
      </c>
      <c r="D22" s="27">
        <f ca="1">'Assumption Table'!$C$22*D23*D14</f>
        <v>124901.53891519106</v>
      </c>
      <c r="E22" s="27">
        <f ca="1">'Assumption Table'!$C$22*E23*E14</f>
        <v>114484.6640564141</v>
      </c>
      <c r="F22" s="27">
        <f ca="1">'Assumption Table'!$C$22*F23*F14</f>
        <v>105018.27924762655</v>
      </c>
      <c r="G22" s="27">
        <f ca="1">'Assumption Table'!$C$22*G23*G14</f>
        <v>144524.10940227954</v>
      </c>
      <c r="H22" s="27">
        <f ca="1">'Assumption Table'!$C$22*H23*H14</f>
        <v>136815.63251447742</v>
      </c>
      <c r="I22" s="27">
        <f ca="1">'Assumption Table'!$C$22*I23*I14</f>
        <v>176908.11569267797</v>
      </c>
      <c r="J22" s="27">
        <f ca="1">'Assumption Table'!$C$22*J23*J14</f>
        <v>221940.90558105439</v>
      </c>
      <c r="K22" s="27">
        <f ca="1">'Assumption Table'!$C$22*K23*K14</f>
        <v>265497.49253334943</v>
      </c>
      <c r="L22" s="27">
        <f ca="1">'Assumption Table'!$C$22*L23*L14</f>
        <v>345543.63591552217</v>
      </c>
      <c r="M22" s="27">
        <f ca="1">'Assumption Table'!$C$22*M23*M14</f>
        <v>402181.76249827555</v>
      </c>
      <c r="N22" s="27">
        <f ca="1">'Assumption Table'!$C$22*N23*N14</f>
        <v>533603.34637670708</v>
      </c>
      <c r="O22" s="27">
        <f ca="1">'Assumption Table'!$C$22*O23*O14</f>
        <v>422066.47111815034</v>
      </c>
      <c r="P22" s="27">
        <f ca="1">'Assumption Table'!$C$22*P23*P14</f>
        <v>767687.2165245309</v>
      </c>
      <c r="Q22" s="27">
        <f ca="1">'Assumption Table'!$C$22*Q23*Q14</f>
        <v>709560.11373635882</v>
      </c>
      <c r="R22" s="27">
        <f ca="1">'Assumption Table'!$C$22*R23*R14</f>
        <v>470754.14321242337</v>
      </c>
      <c r="S22" s="27">
        <f ca="1">'Assumption Table'!$C$22*S23*S14</f>
        <v>499774.272669614</v>
      </c>
      <c r="T22" s="27">
        <f ca="1">'Assumption Table'!$C$22*T23*T14</f>
        <v>304903.58609637944</v>
      </c>
      <c r="U22" s="27">
        <f ca="1">'Assumption Table'!$C$22*U23*U14</f>
        <v>489574.91228185309</v>
      </c>
      <c r="V22" s="27">
        <f ca="1">'Assumption Table'!$C$22*V23*V14</f>
        <v>637548.00983827107</v>
      </c>
      <c r="W22" s="27">
        <f ca="1">'Assumption Table'!$C$22*W23*W14</f>
        <v>310993.39500616613</v>
      </c>
      <c r="X22" s="27">
        <f ca="1">'Assumption Table'!$C$22*X23*X14</f>
        <v>1066887.6786328966</v>
      </c>
      <c r="Y22" s="27">
        <f ca="1">'Assumption Table'!$C$22*Y23*Y14</f>
        <v>831399.94550536061</v>
      </c>
      <c r="Z22" s="27">
        <f ca="1">'Assumption Table'!$C$22*Z23*Z14</f>
        <v>915714.15061741357</v>
      </c>
      <c r="AA22" s="27">
        <f ca="1">'Assumption Table'!$C$22*AA23*AA14</f>
        <v>1109866.4127884244</v>
      </c>
      <c r="AB22" s="27">
        <f ca="1">'Assumption Table'!$C$22*AB23*AB14</f>
        <v>617711.05496733857</v>
      </c>
      <c r="AC22" s="27">
        <f ca="1">'Assumption Table'!$C$22*AC23*AC14</f>
        <v>1255814.376713878</v>
      </c>
      <c r="AD22" s="27">
        <f ca="1">'Assumption Table'!$C$22*AD23*AD14</f>
        <v>698336.88047430711</v>
      </c>
      <c r="AE22" s="27">
        <f ca="1">'Assumption Table'!$C$22*AE23*AE14</f>
        <v>1757125.6564257424</v>
      </c>
      <c r="AF22" s="27">
        <f ca="1">'Assumption Table'!$C$22*AF23*AF14</f>
        <v>990608.64293786639</v>
      </c>
      <c r="AG22" s="27">
        <f ca="1">'Assumption Table'!$C$22*AG23*AG14</f>
        <v>645754.07967879192</v>
      </c>
      <c r="AH22" s="27">
        <f ca="1">'Assumption Table'!$C$22*AH23*AH14</f>
        <v>1035161.2994170297</v>
      </c>
      <c r="AI22" s="27">
        <f ca="1">'Assumption Table'!$C$22*AI23*AI14</f>
        <v>1205107.7147186042</v>
      </c>
      <c r="AJ22" s="27">
        <f ca="1">'Assumption Table'!$C$22*AJ23*AJ14</f>
        <v>1220389.5251359965</v>
      </c>
      <c r="AK22" s="27">
        <f ca="1">'Assumption Table'!$C$22*AK23*AK14</f>
        <v>946792.68531944207</v>
      </c>
      <c r="AL22" s="27">
        <f ca="1">'Assumption Table'!$C$22*AL23*AL14</f>
        <v>2332421.2531248103</v>
      </c>
      <c r="AM22" s="27">
        <f ca="1">'Assumption Table'!$C$22*AM23*AM14</f>
        <v>1702748.5397732505</v>
      </c>
      <c r="AN22" s="27">
        <f ca="1">'Assumption Table'!$C$22*AN23*AN14</f>
        <v>1201646.2807052482</v>
      </c>
      <c r="AO22" s="27">
        <f ca="1">'Assumption Table'!$C$22*AO23*AO14</f>
        <v>570797.83495127363</v>
      </c>
      <c r="AP22" s="27">
        <f ca="1">'Assumption Table'!$C$22*AP23*AP14</f>
        <v>1043258.3273276438</v>
      </c>
      <c r="AQ22" s="27">
        <f ca="1">'Assumption Table'!$C$22*AQ23*AQ14</f>
        <v>1574496.3458521168</v>
      </c>
      <c r="AR22" s="27">
        <f ca="1">'Assumption Table'!$C$22*AR23*AR14</f>
        <v>993455.92085394496</v>
      </c>
      <c r="AS22" s="27">
        <f ca="1">'Assumption Table'!$C$22*AS23*AS14</f>
        <v>1320588.7423103475</v>
      </c>
      <c r="AT22" s="27">
        <f ca="1">'Assumption Table'!$C$22*AT23*AT14</f>
        <v>2313510.1202250896</v>
      </c>
      <c r="AU22" s="27">
        <f ca="1">'Assumption Table'!$C$22*AU23*AU14</f>
        <v>1700024.2268178097</v>
      </c>
      <c r="AV22" s="27">
        <f ca="1">'Assumption Table'!$C$22*AV23*AV14</f>
        <v>1459940.40113106</v>
      </c>
      <c r="AW22" s="27">
        <f ca="1">'Assumption Table'!$C$22*AW23*AW14</f>
        <v>764563.37885506661</v>
      </c>
      <c r="AX22" s="27">
        <f ca="1">'Assumption Table'!$C$22*AX23*AX14</f>
        <v>1676228.0783407753</v>
      </c>
      <c r="AY22" s="27">
        <f ca="1">'Assumption Table'!$C$22*AY23*AY14</f>
        <v>1458998.8801726513</v>
      </c>
      <c r="AZ22" s="27">
        <f ca="1">'Assumption Table'!$C$22*AZ23*AZ14</f>
        <v>3185665.3082998572</v>
      </c>
      <c r="BA22" s="27">
        <f ca="1">'Assumption Table'!$C$22*BA23*BA14</f>
        <v>2021892.7983148464</v>
      </c>
      <c r="BB22" s="27">
        <f ca="1">'Assumption Table'!$C$22*BB23*BB14</f>
        <v>3087992.5729144374</v>
      </c>
      <c r="BC22" s="27">
        <f ca="1">'Assumption Table'!$C$22*BC23*BC14</f>
        <v>2407200.7975791921</v>
      </c>
      <c r="BD22" s="27">
        <f ca="1">'Assumption Table'!$C$22*BD23*BD14</f>
        <v>3301382.5547206793</v>
      </c>
      <c r="BE22" s="27">
        <f ca="1">'Assumption Table'!$C$22*BE23*BE14</f>
        <v>3383299.2911775182</v>
      </c>
      <c r="BF22" s="27">
        <f ca="1">'Assumption Table'!$C$22*BF23*BF14</f>
        <v>2551438.0035199178</v>
      </c>
      <c r="BG22" s="27">
        <f ca="1">'Assumption Table'!$C$22*BG23*BG14</f>
        <v>2853938.3112053806</v>
      </c>
      <c r="BH22" s="27">
        <f ca="1">'Assumption Table'!$C$22*BH23*BH14</f>
        <v>2434057.0296574365</v>
      </c>
      <c r="BI22" s="97">
        <f ca="1">'Assumption Table'!$C$22*BI23*BI14</f>
        <v>3306877.5424567987</v>
      </c>
      <c r="BJ22" s="19" t="str">
        <f t="shared" si="10"/>
        <v>Monthly Plan</v>
      </c>
      <c r="BK22" s="27">
        <f ca="1">SUMIFS($B22:$BI22,$B$4:$BI$4,"&lt;=12")</f>
        <v>2143474.4934629821</v>
      </c>
      <c r="BL22" s="27">
        <f ca="1">SUMIFS($B22:$BI22,$B$4:$BI$4,"&lt;=24",$B$4:$BI$4,"&gt;12")</f>
        <v>7044753.0909987111</v>
      </c>
      <c r="BM22" s="27">
        <f ca="1">SUMIFS($B22:$BI22,$B$4:$BI$4,"&lt;=36",$B$4:$BI$4,"&gt;24")</f>
        <v>12398382.479194835</v>
      </c>
      <c r="BN22" s="27">
        <f ca="1">SUMIFS($B22:$BI22,$B$4:$BI$4,"&lt;=48",$B$4:$BI$4,"&gt;36")</f>
        <v>16977451.37192766</v>
      </c>
      <c r="BO22" s="27">
        <f ca="1">SUMIFS($B22:$BI22,$B$4:$BI$4,"&lt;=60",$B$4:$BI$4,"&gt;48")</f>
        <v>31668971.168359488</v>
      </c>
    </row>
    <row r="23" spans="1:67" ht="13.4" customHeight="1">
      <c r="A23" s="98" t="s">
        <v>222</v>
      </c>
      <c r="B23" s="99">
        <f ca="1">MAX(0,MIN(1,NORMINV(RAND(),'Assumption Table'!$D$22,'Assumption Table'!$E$22)))</f>
        <v>0.41982575053374316</v>
      </c>
      <c r="C23" s="99">
        <f ca="1">MAX(0,MIN(1,NORMINV(RAND(),'Assumption Table'!$D$22,'Assumption Table'!$E$22)))</f>
        <v>0.37730255576642097</v>
      </c>
      <c r="D23" s="99">
        <f ca="1">MAX(0,MIN(1,NORMINV(RAND(),'Assumption Table'!$D$22,'Assumption Table'!$E$22)))</f>
        <v>0.43111361769726542</v>
      </c>
      <c r="E23" s="99">
        <f ca="1">MAX(0,MIN(1,NORMINV(RAND(),'Assumption Table'!$D$22,'Assumption Table'!$E$22)))</f>
        <v>0.41004396316135067</v>
      </c>
      <c r="F23" s="99">
        <f ca="1">MAX(0,MIN(1,NORMINV(RAND(),'Assumption Table'!$D$22,'Assumption Table'!$E$22)))</f>
        <v>0.22862414501588596</v>
      </c>
      <c r="G23" s="99">
        <f ca="1">MAX(0,MIN(1,NORMINV(RAND(),'Assumption Table'!$D$22,'Assumption Table'!$E$22)))</f>
        <v>0.27436336420418034</v>
      </c>
      <c r="H23" s="99">
        <f ca="1">MAX(0,MIN(1,NORMINV(RAND(),'Assumption Table'!$D$22,'Assumption Table'!$E$22)))</f>
        <v>0.23010428708041991</v>
      </c>
      <c r="I23" s="99">
        <f ca="1">MAX(0,MIN(1,NORMINV(RAND(),'Assumption Table'!$D$22,'Assumption Table'!$E$22)))</f>
        <v>0.24285181613893866</v>
      </c>
      <c r="J23" s="99">
        <f ca="1">MAX(0,MIN(1,NORMINV(RAND(),'Assumption Table'!$D$22,'Assumption Table'!$E$22)))</f>
        <v>0.26751274821418658</v>
      </c>
      <c r="K23" s="99">
        <f ca="1">MAX(0,MIN(1,NORMINV(RAND(),'Assumption Table'!$D$22,'Assumption Table'!$E$22)))</f>
        <v>0.26998320956360683</v>
      </c>
      <c r="L23" s="99">
        <f ca="1">MAX(0,MIN(1,NORMINV(RAND(),'Assumption Table'!$D$22,'Assumption Table'!$E$22)))</f>
        <v>0.33060272039674105</v>
      </c>
      <c r="M23" s="99">
        <f ca="1">MAX(0,MIN(1,NORMINV(RAND(),'Assumption Table'!$D$22,'Assumption Table'!$E$22)))</f>
        <v>0.47753900819659562</v>
      </c>
      <c r="N23" s="99">
        <f ca="1">MAX(0,MIN(1,NORMINV(RAND(),'Assumption Table'!$D$22,'Assumption Table'!$E$22)))</f>
        <v>0.35501952064635278</v>
      </c>
      <c r="O23" s="99">
        <f ca="1">MAX(0,MIN(1,NORMINV(RAND(),'Assumption Table'!$D$22,'Assumption Table'!$E$22)))</f>
        <v>0.32864043384275426</v>
      </c>
      <c r="P23" s="99">
        <f ca="1">MAX(0,MIN(1,NORMINV(RAND(),'Assumption Table'!$D$22,'Assumption Table'!$E$22)))</f>
        <v>0.42897388761370381</v>
      </c>
      <c r="Q23" s="99">
        <f ca="1">MAX(0,MIN(1,NORMINV(RAND(),'Assumption Table'!$D$22,'Assumption Table'!$E$22)))</f>
        <v>0.37538393311228146</v>
      </c>
      <c r="R23" s="99">
        <f ca="1">MAX(0,MIN(1,NORMINV(RAND(),'Assumption Table'!$D$22,'Assumption Table'!$E$22)))</f>
        <v>0.28126922735328591</v>
      </c>
      <c r="S23" s="99">
        <f ca="1">MAX(0,MIN(1,NORMINV(RAND(),'Assumption Table'!$D$22,'Assumption Table'!$E$22)))</f>
        <v>0.31627556633556009</v>
      </c>
      <c r="T23" s="99">
        <f ca="1">MAX(0,MIN(1,NORMINV(RAND(),'Assumption Table'!$D$22,'Assumption Table'!$E$22)))</f>
        <v>0.19344933200706063</v>
      </c>
      <c r="U23" s="99">
        <f ca="1">MAX(0,MIN(1,NORMINV(RAND(),'Assumption Table'!$D$22,'Assumption Table'!$E$22)))</f>
        <v>0.228690495859452</v>
      </c>
      <c r="V23" s="99">
        <f ca="1">MAX(0,MIN(1,NORMINV(RAND(),'Assumption Table'!$D$22,'Assumption Table'!$E$22)))</f>
        <v>0.29984363630571936</v>
      </c>
      <c r="W23" s="99">
        <f ca="1">MAX(0,MIN(1,NORMINV(RAND(),'Assumption Table'!$D$22,'Assumption Table'!$E$22)))</f>
        <v>0.14309623137265806</v>
      </c>
      <c r="X23" s="99">
        <f ca="1">MAX(0,MIN(1,NORMINV(RAND(),'Assumption Table'!$D$22,'Assumption Table'!$E$22)))</f>
        <v>0.35752760962794616</v>
      </c>
      <c r="Y23" s="99">
        <f ca="1">MAX(0,MIN(1,NORMINV(RAND(),'Assumption Table'!$D$22,'Assumption Table'!$E$22)))</f>
        <v>0.35082052174330186</v>
      </c>
      <c r="Z23" s="99">
        <f ca="1">MAX(0,MIN(1,NORMINV(RAND(),'Assumption Table'!$D$22,'Assumption Table'!$E$22)))</f>
        <v>0.30155655530134212</v>
      </c>
      <c r="AA23" s="99">
        <f ca="1">MAX(0,MIN(1,NORMINV(RAND(),'Assumption Table'!$D$22,'Assumption Table'!$E$22)))</f>
        <v>0.3723897716953542</v>
      </c>
      <c r="AB23" s="99">
        <f ca="1">MAX(0,MIN(1,NORMINV(RAND(),'Assumption Table'!$D$22,'Assumption Table'!$E$22)))</f>
        <v>0.28434730485691467</v>
      </c>
      <c r="AC23" s="99">
        <f ca="1">MAX(0,MIN(1,NORMINV(RAND(),'Assumption Table'!$D$22,'Assumption Table'!$E$22)))</f>
        <v>0.29335201599575661</v>
      </c>
      <c r="AD23" s="99">
        <f ca="1">MAX(0,MIN(1,NORMINV(RAND(),'Assumption Table'!$D$22,'Assumption Table'!$E$22)))</f>
        <v>0.20173898093444786</v>
      </c>
      <c r="AE23" s="99">
        <f ca="1">MAX(0,MIN(1,NORMINV(RAND(),'Assumption Table'!$D$22,'Assumption Table'!$E$22)))</f>
        <v>0.35542978209841697</v>
      </c>
      <c r="AF23" s="99">
        <f ca="1">MAX(0,MIN(1,NORMINV(RAND(),'Assumption Table'!$D$22,'Assumption Table'!$E$22)))</f>
        <v>0.32672519728677257</v>
      </c>
      <c r="AG23" s="99">
        <f ca="1">MAX(0,MIN(1,NORMINV(RAND(),'Assumption Table'!$D$22,'Assumption Table'!$E$22)))</f>
        <v>0.27251252452635921</v>
      </c>
      <c r="AH23" s="99">
        <f ca="1">MAX(0,MIN(1,NORMINV(RAND(),'Assumption Table'!$D$22,'Assumption Table'!$E$22)))</f>
        <v>0.36824508584921734</v>
      </c>
      <c r="AI23" s="99">
        <f ca="1">MAX(0,MIN(1,NORMINV(RAND(),'Assumption Table'!$D$22,'Assumption Table'!$E$22)))</f>
        <v>0.3671539502695837</v>
      </c>
      <c r="AJ23" s="99">
        <f ca="1">MAX(0,MIN(1,NORMINV(RAND(),'Assumption Table'!$D$22,'Assumption Table'!$E$22)))</f>
        <v>0.23073516771660069</v>
      </c>
      <c r="AK23" s="99">
        <f ca="1">MAX(0,MIN(1,NORMINV(RAND(),'Assumption Table'!$D$22,'Assumption Table'!$E$22)))</f>
        <v>0.28690685086502798</v>
      </c>
      <c r="AL23" s="99">
        <f ca="1">MAX(0,MIN(1,NORMINV(RAND(),'Assumption Table'!$D$22,'Assumption Table'!$E$22)))</f>
        <v>0.39659604214169147</v>
      </c>
      <c r="AM23" s="99">
        <f ca="1">MAX(0,MIN(1,NORMINV(RAND(),'Assumption Table'!$D$22,'Assumption Table'!$E$22)))</f>
        <v>0.27505773774567099</v>
      </c>
      <c r="AN23" s="99">
        <f ca="1">MAX(0,MIN(1,NORMINV(RAND(),'Assumption Table'!$D$22,'Assumption Table'!$E$22)))</f>
        <v>0.18374180513144983</v>
      </c>
      <c r="AO23" s="99">
        <f ca="1">MAX(0,MIN(1,NORMINV(RAND(),'Assumption Table'!$D$22,'Assumption Table'!$E$22)))</f>
        <v>0.11124899556398865</v>
      </c>
      <c r="AP23" s="99">
        <f ca="1">MAX(0,MIN(1,NORMINV(RAND(),'Assumption Table'!$D$22,'Assumption Table'!$E$22)))</f>
        <v>0.31158350134421076</v>
      </c>
      <c r="AQ23" s="99">
        <f ca="1">MAX(0,MIN(1,NORMINV(RAND(),'Assumption Table'!$D$22,'Assumption Table'!$E$22)))</f>
        <v>0.37863867703721976</v>
      </c>
      <c r="AR23" s="99">
        <f ca="1">MAX(0,MIN(1,NORMINV(RAND(),'Assumption Table'!$D$22,'Assumption Table'!$E$22)))</f>
        <v>0.19480545202706623</v>
      </c>
      <c r="AS23" s="99">
        <f ca="1">MAX(0,MIN(1,NORMINV(RAND(),'Assumption Table'!$D$22,'Assumption Table'!$E$22)))</f>
        <v>0.24533576887549632</v>
      </c>
      <c r="AT23" s="99">
        <f ca="1">MAX(0,MIN(1,NORMINV(RAND(),'Assumption Table'!$D$22,'Assumption Table'!$E$22)))</f>
        <v>0.42567184052504331</v>
      </c>
      <c r="AU23" s="99">
        <f ca="1">MAX(0,MIN(1,NORMINV(RAND(),'Assumption Table'!$D$22,'Assumption Table'!$E$22)))</f>
        <v>0.2844486256339035</v>
      </c>
      <c r="AV23" s="99">
        <f ca="1">MAX(0,MIN(1,NORMINV(RAND(),'Assumption Table'!$D$22,'Assumption Table'!$E$22)))</f>
        <v>0.19211624606572436</v>
      </c>
      <c r="AW23" s="99">
        <f ca="1">MAX(0,MIN(1,NORMINV(RAND(),'Assumption Table'!$D$22,'Assumption Table'!$E$22)))</f>
        <v>0.15588819957480743</v>
      </c>
      <c r="AX23" s="99">
        <f ca="1">MAX(0,MIN(1,NORMINV(RAND(),'Assumption Table'!$D$22,'Assumption Table'!$E$22)))</f>
        <v>0.2720899742516612</v>
      </c>
      <c r="AY23" s="99">
        <f ca="1">MAX(0,MIN(1,NORMINV(RAND(),'Assumption Table'!$D$22,'Assumption Table'!$E$22)))</f>
        <v>0.22235855214091846</v>
      </c>
      <c r="AZ23" s="99">
        <f ca="1">MAX(0,MIN(1,NORMINV(RAND(),'Assumption Table'!$D$22,'Assumption Table'!$E$22)))</f>
        <v>0.4529939268419052</v>
      </c>
      <c r="BA23" s="99">
        <f ca="1">MAX(0,MIN(1,NORMINV(RAND(),'Assumption Table'!$D$22,'Assumption Table'!$E$22)))</f>
        <v>0.30301271806183905</v>
      </c>
      <c r="BB23" s="99">
        <f ca="1">MAX(0,MIN(1,NORMINV(RAND(),'Assumption Table'!$D$22,'Assumption Table'!$E$22)))</f>
        <v>0.48406286630396284</v>
      </c>
      <c r="BC23" s="99">
        <f ca="1">MAX(0,MIN(1,NORMINV(RAND(),'Assumption Table'!$D$22,'Assumption Table'!$E$22)))</f>
        <v>0.32965686542605721</v>
      </c>
      <c r="BD23" s="99">
        <f ca="1">MAX(0,MIN(1,NORMINV(RAND(),'Assumption Table'!$D$22,'Assumption Table'!$E$22)))</f>
        <v>0.34974296184792725</v>
      </c>
      <c r="BE23" s="99">
        <f ca="1">MAX(0,MIN(1,NORMINV(RAND(),'Assumption Table'!$D$22,'Assumption Table'!$E$22)))</f>
        <v>0.31871761216838512</v>
      </c>
      <c r="BF23" s="99">
        <f ca="1">MAX(0,MIN(1,NORMINV(RAND(),'Assumption Table'!$D$22,'Assumption Table'!$E$22)))</f>
        <v>0.23062148797726306</v>
      </c>
      <c r="BG23" s="99">
        <f ca="1">MAX(0,MIN(1,NORMINV(RAND(),'Assumption Table'!$D$22,'Assumption Table'!$E$22)))</f>
        <v>0.29737933188093774</v>
      </c>
      <c r="BH23" s="99">
        <f ca="1">MAX(0,MIN(1,NORMINV(RAND(),'Assumption Table'!$D$22,'Assumption Table'!$E$22)))</f>
        <v>0.36084410655549098</v>
      </c>
      <c r="BI23" s="100">
        <f ca="1">MAX(0,MIN(1,NORMINV(RAND(),'Assumption Table'!$D$22,'Assumption Table'!$E$22)))</f>
        <v>0.30932319262491564</v>
      </c>
      <c r="BJ23" s="10"/>
      <c r="BK23" s="99"/>
      <c r="BL23" s="99"/>
      <c r="BM23" s="99"/>
      <c r="BN23" s="99"/>
      <c r="BO23" s="99"/>
    </row>
    <row r="24" spans="1:67" ht="13.4" customHeight="1">
      <c r="A24" s="4" t="s">
        <v>223</v>
      </c>
      <c r="B24" s="27">
        <f ca="1">'Assumption Table'!$C$23*B25*B14</f>
        <v>19571.066147069982</v>
      </c>
      <c r="C24" s="27">
        <f ca="1">'Assumption Table'!$C$23*C25*C14</f>
        <v>52451.15520079869</v>
      </c>
      <c r="D24" s="27">
        <f ca="1">'Assumption Table'!$C$23*D25*D14</f>
        <v>56893.432561199879</v>
      </c>
      <c r="E24" s="27">
        <f ca="1">'Assumption Table'!$C$23*E25*E14</f>
        <v>54574.341387536995</v>
      </c>
      <c r="F24" s="27">
        <f ca="1">'Assumption Table'!$C$23*F25*F14</f>
        <v>26446.288371870214</v>
      </c>
      <c r="G24" s="27">
        <f ca="1">'Assumption Table'!$C$23*G25*G14</f>
        <v>183040.23891643094</v>
      </c>
      <c r="H24" s="27">
        <f ca="1">'Assumption Table'!$C$23*H25*H14</f>
        <v>179484.11477839685</v>
      </c>
      <c r="I24" s="27">
        <f ca="1">'Assumption Table'!$C$23*I25*I14</f>
        <v>196886.42609152597</v>
      </c>
      <c r="J24" s="27">
        <f ca="1">'Assumption Table'!$C$23*J25*J14</f>
        <v>235481.34982590369</v>
      </c>
      <c r="K24" s="27">
        <f ca="1">'Assumption Table'!$C$23*K25*K14</f>
        <v>244150.83685323363</v>
      </c>
      <c r="L24" s="27">
        <f ca="1">'Assumption Table'!$C$23*L25*L14</f>
        <v>184326.33699521906</v>
      </c>
      <c r="M24" s="27">
        <f ca="1">'Assumption Table'!$C$23*M25*M14</f>
        <v>333514.48402996955</v>
      </c>
      <c r="N24" s="27">
        <f ca="1">'Assumption Table'!$C$23*N25*N14</f>
        <v>324750.98312873999</v>
      </c>
      <c r="O24" s="27">
        <f ca="1">'Assumption Table'!$C$23*O25*O14</f>
        <v>379918.98772034328</v>
      </c>
      <c r="P24" s="27">
        <f ca="1">'Assumption Table'!$C$23*P25*P14</f>
        <v>219063.84806562253</v>
      </c>
      <c r="Q24" s="27">
        <f ca="1">'Assumption Table'!$C$23*Q25*Q14</f>
        <v>281970.33585195831</v>
      </c>
      <c r="R24" s="27">
        <f ca="1">'Assumption Table'!$C$23*R25*R14</f>
        <v>295981.04387217801</v>
      </c>
      <c r="S24" s="27">
        <f ca="1">'Assumption Table'!$C$23*S25*S14</f>
        <v>158717.08878345086</v>
      </c>
      <c r="T24" s="27">
        <f ca="1">'Assumption Table'!$C$23*T25*T14</f>
        <v>215732.78319566985</v>
      </c>
      <c r="U24" s="27">
        <f ca="1">'Assumption Table'!$C$23*U25*U14</f>
        <v>344567.51665076398</v>
      </c>
      <c r="V24" s="27">
        <f ca="1">'Assumption Table'!$C$23*V25*V14</f>
        <v>293195.98538655759</v>
      </c>
      <c r="W24" s="27">
        <f ca="1">'Assumption Table'!$C$23*W25*W14</f>
        <v>367557.84955072351</v>
      </c>
      <c r="X24" s="27">
        <f ca="1">'Assumption Table'!$C$23*X25*X14</f>
        <v>764710.47939961916</v>
      </c>
      <c r="Y24" s="27">
        <f ca="1">'Assumption Table'!$C$23*Y25*Y14</f>
        <v>261682.05176623425</v>
      </c>
      <c r="Z24" s="27">
        <f ca="1">'Assumption Table'!$C$23*Z25*Z14</f>
        <v>575504.43651913037</v>
      </c>
      <c r="AA24" s="27">
        <f ca="1">'Assumption Table'!$C$23*AA25*AA14</f>
        <v>545640.58950404485</v>
      </c>
      <c r="AB24" s="27">
        <f ca="1">'Assumption Table'!$C$23*AB25*AB14</f>
        <v>348512.69812057697</v>
      </c>
      <c r="AC24" s="27">
        <f ca="1">'Assumption Table'!$C$23*AC25*AC14</f>
        <v>853974.77545724309</v>
      </c>
      <c r="AD24" s="27">
        <f ca="1">'Assumption Table'!$C$23*AD25*AD14</f>
        <v>1343662.4802207861</v>
      </c>
      <c r="AE24" s="27">
        <f ca="1">'Assumption Table'!$C$23*AE25*AE14</f>
        <v>1242818.1947586485</v>
      </c>
      <c r="AF24" s="27">
        <f ca="1">'Assumption Table'!$C$23*AF25*AF14</f>
        <v>366573.77188220783</v>
      </c>
      <c r="AG24" s="27">
        <f ca="1">'Assumption Table'!$C$23*AG25*AG14</f>
        <v>136750.05911298681</v>
      </c>
      <c r="AH24" s="27">
        <f ca="1">'Assumption Table'!$C$23*AH25*AH14</f>
        <v>782151.55321534269</v>
      </c>
      <c r="AI24" s="27">
        <f ca="1">'Assumption Table'!$C$23*AI25*AI14</f>
        <v>1180848.8981260802</v>
      </c>
      <c r="AJ24" s="27">
        <f ca="1">'Assumption Table'!$C$23*AJ25*AJ14</f>
        <v>1204435.831956889</v>
      </c>
      <c r="AK24" s="27">
        <f ca="1">'Assumption Table'!$C$23*AK25*AK14</f>
        <v>883203.93747037277</v>
      </c>
      <c r="AL24" s="27">
        <f ca="1">'Assumption Table'!$C$23*AL25*AL14</f>
        <v>2121205.8389704442</v>
      </c>
      <c r="AM24" s="27">
        <f ca="1">'Assumption Table'!$C$23*AM25*AM14</f>
        <v>1681279.2847012447</v>
      </c>
      <c r="AN24" s="27">
        <f ca="1">'Assumption Table'!$C$23*AN25*AN14</f>
        <v>602967.14784213109</v>
      </c>
      <c r="AO24" s="27">
        <f ca="1">'Assumption Table'!$C$23*AO25*AO14</f>
        <v>1136385.2899273923</v>
      </c>
      <c r="AP24" s="27">
        <f ca="1">'Assumption Table'!$C$23*AP25*AP14</f>
        <v>858191.31467610737</v>
      </c>
      <c r="AQ24" s="27">
        <f ca="1">'Assumption Table'!$C$23*AQ25*AQ14</f>
        <v>1081202.4982945512</v>
      </c>
      <c r="AR24" s="27">
        <f ca="1">'Assumption Table'!$C$23*AR25*AR14</f>
        <v>561331.07935606944</v>
      </c>
      <c r="AS24" s="27">
        <f ca="1">'Assumption Table'!$C$23*AS25*AS14</f>
        <v>1966795.672367932</v>
      </c>
      <c r="AT24" s="27">
        <f ca="1">'Assumption Table'!$C$23*AT25*AT14</f>
        <v>1918967.2648590945</v>
      </c>
      <c r="AU24" s="27">
        <f ca="1">'Assumption Table'!$C$23*AU25*AU14</f>
        <v>1634187.9668313391</v>
      </c>
      <c r="AV24" s="27">
        <f ca="1">'Assumption Table'!$C$23*AV25*AV14</f>
        <v>2323241.9899219354</v>
      </c>
      <c r="AW24" s="27">
        <f ca="1">'Assumption Table'!$C$23*AW25*AW14</f>
        <v>1327986.7917399197</v>
      </c>
      <c r="AX24" s="27">
        <f ca="1">'Assumption Table'!$C$23*AX25*AX14</f>
        <v>2069133.7739445921</v>
      </c>
      <c r="AY24" s="27">
        <f ca="1">'Assumption Table'!$C$23*AY25*AY14</f>
        <v>1219687.4728172882</v>
      </c>
      <c r="AZ24" s="27">
        <f ca="1">'Assumption Table'!$C$23*AZ25*AZ14</f>
        <v>1672472.5436690033</v>
      </c>
      <c r="BA24" s="27">
        <f ca="1">'Assumption Table'!$C$23*BA25*BA14</f>
        <v>1204206.3721712877</v>
      </c>
      <c r="BB24" s="27">
        <f ca="1">'Assumption Table'!$C$23*BB25*BB14</f>
        <v>2069654.823743047</v>
      </c>
      <c r="BC24" s="27">
        <f ca="1">'Assumption Table'!$C$23*BC25*BC14</f>
        <v>889701.84742388315</v>
      </c>
      <c r="BD24" s="27">
        <f ca="1">'Assumption Table'!$C$23*BD25*BD14</f>
        <v>1747656.8043197668</v>
      </c>
      <c r="BE24" s="27">
        <f ca="1">'Assumption Table'!$C$23*BE25*BE14</f>
        <v>2163104.8353883652</v>
      </c>
      <c r="BF24" s="27">
        <f ca="1">'Assumption Table'!$C$23*BF25*BF14</f>
        <v>2688793.5774429073</v>
      </c>
      <c r="BG24" s="27">
        <f ca="1">'Assumption Table'!$C$23*BG25*BG14</f>
        <v>2857970.620022492</v>
      </c>
      <c r="BH24" s="27">
        <f ca="1">'Assumption Table'!$C$23*BH25*BH14</f>
        <v>2238579.5430632182</v>
      </c>
      <c r="BI24" s="97">
        <f ca="1">'Assumption Table'!$C$23*BI25*BI14</f>
        <v>1703972.1124011085</v>
      </c>
      <c r="BJ24" s="17" t="str">
        <f>A24</f>
        <v>Annual Plan</v>
      </c>
      <c r="BK24" s="27">
        <f ca="1">SUMIFS($B24:$BI24,$B$4:$BI$4,"&lt;=12")</f>
        <v>1766820.0711591551</v>
      </c>
      <c r="BL24" s="27">
        <f ca="1">SUMIFS($B24:$BI24,$B$4:$BI$4,"&lt;=24",$B$4:$BI$4,"&gt;12")</f>
        <v>3907848.9533718615</v>
      </c>
      <c r="BM24" s="27">
        <f ca="1">SUMIFS($B24:$BI24,$B$4:$BI$4,"&lt;=36",$B$4:$BI$4,"&gt;24")</f>
        <v>9464077.2263443097</v>
      </c>
      <c r="BN24" s="27">
        <f ca="1">SUMIFS($B24:$BI24,$B$4:$BI$4,"&lt;=48",$B$4:$BI$4,"&gt;36")</f>
        <v>17213742.139488161</v>
      </c>
      <c r="BO24" s="27">
        <f ca="1">SUMIFS($B24:$BI24,$B$4:$BI$4,"&lt;=60",$B$4:$BI$4,"&gt;48")</f>
        <v>22524934.326406959</v>
      </c>
    </row>
    <row r="25" spans="1:67" ht="13.4" customHeight="1">
      <c r="A25" s="98" t="s">
        <v>222</v>
      </c>
      <c r="B25" s="99">
        <f ca="1">MAX(0,MIN(1-B23,NORMINV(RAND(),'Assumption Table'!$D$23,'Assumption Table'!$E$23)))</f>
        <v>0.30611957325580363</v>
      </c>
      <c r="C25" s="99">
        <f ca="1">MAX(0,MIN(1-C23,NORMINV(RAND(),'Assumption Table'!$D$23,'Assumption Table'!$E$23)))</f>
        <v>0.37168155876339337</v>
      </c>
      <c r="D25" s="99">
        <f ca="1">MAX(0,MIN(1-D23,NORMINV(RAND(),'Assumption Table'!$D$23,'Assumption Table'!$E$23)))</f>
        <v>0.25908291802207511</v>
      </c>
      <c r="E25" s="99">
        <f ca="1">MAX(0,MIN(1-E23,NORMINV(RAND(),'Assumption Table'!$D$23,'Assumption Table'!$E$23)))</f>
        <v>0.25788394344175142</v>
      </c>
      <c r="F25" s="99">
        <f ca="1">MAX(0,MIN(1-F23,NORMINV(RAND(),'Assumption Table'!$D$23,'Assumption Table'!$E$23)))</f>
        <v>7.5958191603182068E-2</v>
      </c>
      <c r="G25" s="99">
        <f ca="1">MAX(0,MIN(1-G23,NORMINV(RAND(),'Assumption Table'!$D$23,'Assumption Table'!$E$23)))</f>
        <v>0.45844272218853355</v>
      </c>
      <c r="H25" s="99">
        <f ca="1">MAX(0,MIN(1-H23,NORMINV(RAND(),'Assumption Table'!$D$23,'Assumption Table'!$E$23)))</f>
        <v>0.3982609230414953</v>
      </c>
      <c r="I25" s="99">
        <f ca="1">MAX(0,MIN(1-I23,NORMINV(RAND(),'Assumption Table'!$D$23,'Assumption Table'!$E$23)))</f>
        <v>0.35658417508248724</v>
      </c>
      <c r="J25" s="99">
        <f ca="1">MAX(0,MIN(1-J23,NORMINV(RAND(),'Assumption Table'!$D$23,'Assumption Table'!$E$23)))</f>
        <v>0.37446940174260807</v>
      </c>
      <c r="K25" s="99">
        <f ca="1">MAX(0,MIN(1-K23,NORMINV(RAND(),'Assumption Table'!$D$23,'Assumption Table'!$E$23)))</f>
        <v>0.32755726812839614</v>
      </c>
      <c r="L25" s="99">
        <f ca="1">MAX(0,MIN(1-L23,NORMINV(RAND(),'Assumption Table'!$D$23,'Assumption Table'!$E$23)))</f>
        <v>0.23267172405034403</v>
      </c>
      <c r="M25" s="99">
        <f ca="1">MAX(0,MIN(1-M23,NORMINV(RAND(),'Assumption Table'!$D$23,'Assumption Table'!$E$23)))</f>
        <v>0.52246099180340444</v>
      </c>
      <c r="N25" s="99">
        <f ca="1">MAX(0,MIN(1-N23,NORMINV(RAND(),'Assumption Table'!$D$23,'Assumption Table'!$E$23)))</f>
        <v>0.28506037642017901</v>
      </c>
      <c r="O25" s="99">
        <f ca="1">MAX(0,MIN(1-O23,NORMINV(RAND(),'Assumption Table'!$D$23,'Assumption Table'!$E$23)))</f>
        <v>0.3902867723942125</v>
      </c>
      <c r="P25" s="99">
        <f ca="1">MAX(0,MIN(1-P23,NORMINV(RAND(),'Assumption Table'!$D$23,'Assumption Table'!$E$23)))</f>
        <v>0.16149904224008413</v>
      </c>
      <c r="Q25" s="99">
        <f ca="1">MAX(0,MIN(1-Q23,NORMINV(RAND(),'Assumption Table'!$D$23,'Assumption Table'!$E$23)))</f>
        <v>0.19680793217449771</v>
      </c>
      <c r="R25" s="99">
        <f ca="1">MAX(0,MIN(1-R23,NORMINV(RAND(),'Assumption Table'!$D$23,'Assumption Table'!$E$23)))</f>
        <v>0.23331607278090835</v>
      </c>
      <c r="S25" s="99">
        <f ca="1">MAX(0,MIN(1-S23,NORMINV(RAND(),'Assumption Table'!$D$23,'Assumption Table'!$E$23)))</f>
        <v>0.13251594143203171</v>
      </c>
      <c r="T25" s="99">
        <f ca="1">MAX(0,MIN(1-T23,NORMINV(RAND(),'Assumption Table'!$D$23,'Assumption Table'!$E$23)))</f>
        <v>0.18058161781670595</v>
      </c>
      <c r="U25" s="99">
        <f ca="1">MAX(0,MIN(1-U23,NORMINV(RAND(),'Assumption Table'!$D$23,'Assumption Table'!$E$23)))</f>
        <v>0.21235181889100005</v>
      </c>
      <c r="V25" s="99">
        <f ca="1">MAX(0,MIN(1-V23,NORMINV(RAND(),'Assumption Table'!$D$23,'Assumption Table'!$E$23)))</f>
        <v>0.18192511247202986</v>
      </c>
      <c r="W25" s="99">
        <f ca="1">MAX(0,MIN(1-W23,NORMINV(RAND(),'Assumption Table'!$D$23,'Assumption Table'!$E$23)))</f>
        <v>0.22312869414929631</v>
      </c>
      <c r="X25" s="99">
        <f ca="1">MAX(0,MIN(1-X23,NORMINV(RAND(),'Assumption Table'!$D$23,'Assumption Table'!$E$23)))</f>
        <v>0.33809645602734917</v>
      </c>
      <c r="Y25" s="99">
        <f ca="1">MAX(0,MIN(1-Y23,NORMINV(RAND(),'Assumption Table'!$D$23,'Assumption Table'!$E$23)))</f>
        <v>0.14568056787843944</v>
      </c>
      <c r="Z25" s="99">
        <f ca="1">MAX(0,MIN(1-Z23,NORMINV(RAND(),'Assumption Table'!$D$23,'Assumption Table'!$E$23)))</f>
        <v>0.25004041739419558</v>
      </c>
      <c r="AA25" s="99">
        <f ca="1">MAX(0,MIN(1-AA23,NORMINV(RAND(),'Assumption Table'!$D$23,'Assumption Table'!$E$23)))</f>
        <v>0.2415385170203771</v>
      </c>
      <c r="AB25" s="99">
        <f ca="1">MAX(0,MIN(1-AB23,NORMINV(RAND(),'Assumption Table'!$D$23,'Assumption Table'!$E$23)))</f>
        <v>0.21165817137791193</v>
      </c>
      <c r="AC25" s="99">
        <f ca="1">MAX(0,MIN(1-AC23,NORMINV(RAND(),'Assumption Table'!$D$23,'Assumption Table'!$E$23)))</f>
        <v>0.26318513751763145</v>
      </c>
      <c r="AD25" s="99">
        <f ca="1">MAX(0,MIN(1-AD23,NORMINV(RAND(),'Assumption Table'!$D$23,'Assumption Table'!$E$23)))</f>
        <v>0.51211526984337852</v>
      </c>
      <c r="AE25" s="99">
        <f ca="1">MAX(0,MIN(1-AE23,NORMINV(RAND(),'Assumption Table'!$D$23,'Assumption Table'!$E$23)))</f>
        <v>0.33167389345833731</v>
      </c>
      <c r="AF25" s="99">
        <f ca="1">MAX(0,MIN(1-AF23,NORMINV(RAND(),'Assumption Table'!$D$23,'Assumption Table'!$E$23)))</f>
        <v>0.15951245358668456</v>
      </c>
      <c r="AG25" s="99">
        <f ca="1">MAX(0,MIN(1-AG23,NORMINV(RAND(),'Assumption Table'!$D$23,'Assumption Table'!$E$23)))</f>
        <v>7.6137659475123187E-2</v>
      </c>
      <c r="AH25" s="99">
        <f ca="1">MAX(0,MIN(1-AH23,NORMINV(RAND(),'Assumption Table'!$D$23,'Assumption Table'!$E$23)))</f>
        <v>0.36708998484547356</v>
      </c>
      <c r="AI25" s="99">
        <f ca="1">MAX(0,MIN(1-AI23,NORMINV(RAND(),'Assumption Table'!$D$23,'Assumption Table'!$E$23)))</f>
        <v>0.47464548956215075</v>
      </c>
      <c r="AJ25" s="99">
        <f ca="1">MAX(0,MIN(1-AJ23,NORMINV(RAND(),'Assumption Table'!$D$23,'Assumption Table'!$E$23)))</f>
        <v>0.30043579853466751</v>
      </c>
      <c r="AK25" s="99">
        <f ca="1">MAX(0,MIN(1-AK23,NORMINV(RAND(),'Assumption Table'!$D$23,'Assumption Table'!$E$23)))</f>
        <v>0.35310162169007747</v>
      </c>
      <c r="AL25" s="99">
        <f ca="1">MAX(0,MIN(1-AL23,NORMINV(RAND(),'Assumption Table'!$D$23,'Assumption Table'!$E$23)))</f>
        <v>0.47585746937236673</v>
      </c>
      <c r="AM25" s="99">
        <f ca="1">MAX(0,MIN(1-AM23,NORMINV(RAND(),'Assumption Table'!$D$23,'Assumption Table'!$E$23)))</f>
        <v>0.35831575409879646</v>
      </c>
      <c r="AN25" s="99">
        <f ca="1">MAX(0,MIN(1-AN23,NORMINV(RAND(),'Assumption Table'!$D$23,'Assumption Table'!$E$23)))</f>
        <v>0.12164035354553218</v>
      </c>
      <c r="AO25" s="99">
        <f ca="1">MAX(0,MIN(1-AO23,NORMINV(RAND(),'Assumption Table'!$D$23,'Assumption Table'!$E$23)))</f>
        <v>0.29220798247133428</v>
      </c>
      <c r="AP25" s="99">
        <f ca="1">MAX(0,MIN(1-AP23,NORMINV(RAND(),'Assumption Table'!$D$23,'Assumption Table'!$E$23)))</f>
        <v>0.33815779214444852</v>
      </c>
      <c r="AQ25" s="99">
        <f ca="1">MAX(0,MIN(1-AQ23,NORMINV(RAND(),'Assumption Table'!$D$23,'Assumption Table'!$E$23)))</f>
        <v>0.34303864525561933</v>
      </c>
      <c r="AR25" s="99">
        <f ca="1">MAX(0,MIN(1-AR23,NORMINV(RAND(),'Assumption Table'!$D$23,'Assumption Table'!$E$23)))</f>
        <v>0.14521928176902316</v>
      </c>
      <c r="AS25" s="99">
        <f ca="1">MAX(0,MIN(1-AS23,NORMINV(RAND(),'Assumption Table'!$D$23,'Assumption Table'!$E$23)))</f>
        <v>0.48206457199735692</v>
      </c>
      <c r="AT25" s="99">
        <f ca="1">MAX(0,MIN(1-AT23,NORMINV(RAND(),'Assumption Table'!$D$23,'Assumption Table'!$E$23)))</f>
        <v>0.4658260536031068</v>
      </c>
      <c r="AU25" s="99">
        <f ca="1">MAX(0,MIN(1-AU23,NORMINV(RAND(),'Assumption Table'!$D$23,'Assumption Table'!$E$23)))</f>
        <v>0.36074758178495958</v>
      </c>
      <c r="AV25" s="99">
        <f ca="1">MAX(0,MIN(1-AV23,NORMINV(RAND(),'Assumption Table'!$D$23,'Assumption Table'!$E$23)))</f>
        <v>0.40334446762729304</v>
      </c>
      <c r="AW25" s="99">
        <f ca="1">MAX(0,MIN(1-AW23,NORMINV(RAND(),'Assumption Table'!$D$23,'Assumption Table'!$E$23)))</f>
        <v>0.35722857852746248</v>
      </c>
      <c r="AX25" s="99">
        <f ca="1">MAX(0,MIN(1-AX23,NORMINV(RAND(),'Assumption Table'!$D$23,'Assumption Table'!$E$23)))</f>
        <v>0.44311932338811683</v>
      </c>
      <c r="AY25" s="99">
        <f ca="1">MAX(0,MIN(1-AY23,NORMINV(RAND(),'Assumption Table'!$D$23,'Assumption Table'!$E$23)))</f>
        <v>0.24524498386061278</v>
      </c>
      <c r="AZ25" s="99">
        <f ca="1">MAX(0,MIN(1-AZ23,NORMINV(RAND(),'Assumption Table'!$D$23,'Assumption Table'!$E$23)))</f>
        <v>0.31376458406071461</v>
      </c>
      <c r="BA25" s="99">
        <f ca="1">MAX(0,MIN(1-BA23,NORMINV(RAND(),'Assumption Table'!$D$23,'Assumption Table'!$E$23)))</f>
        <v>0.23809832694523322</v>
      </c>
      <c r="BB25" s="99">
        <f ca="1">MAX(0,MIN(1-BB23,NORMINV(RAND(),'Assumption Table'!$D$23,'Assumption Table'!$E$23)))</f>
        <v>0.42803189512215917</v>
      </c>
      <c r="BC25" s="99">
        <f ca="1">MAX(0,MIN(1-BC23,NORMINV(RAND(),'Assumption Table'!$D$23,'Assumption Table'!$E$23)))</f>
        <v>0.16074852238165274</v>
      </c>
      <c r="BD25" s="99">
        <f ca="1">MAX(0,MIN(1-BD23,NORMINV(RAND(),'Assumption Table'!$D$23,'Assumption Table'!$E$23)))</f>
        <v>0.24426541176279482</v>
      </c>
      <c r="BE25" s="99">
        <f ca="1">MAX(0,MIN(1-BE23,NORMINV(RAND(),'Assumption Table'!$D$23,'Assumption Table'!$E$23)))</f>
        <v>0.26884124900553319</v>
      </c>
      <c r="BF25" s="99">
        <f ca="1">MAX(0,MIN(1-BF23,NORMINV(RAND(),'Assumption Table'!$D$23,'Assumption Table'!$E$23)))</f>
        <v>0.32064531811322772</v>
      </c>
      <c r="BG25" s="99">
        <f ca="1">MAX(0,MIN(1-BG23,NORMINV(RAND(),'Assumption Table'!$D$23,'Assumption Table'!$E$23)))</f>
        <v>0.39289513468437154</v>
      </c>
      <c r="BH25" s="99">
        <f ca="1">MAX(0,MIN(1-BH23,NORMINV(RAND(),'Assumption Table'!$D$23,'Assumption Table'!$E$23)))</f>
        <v>0.43783864274648387</v>
      </c>
      <c r="BI25" s="100">
        <f ca="1">MAX(0,MIN(1-BI23,NORMINV(RAND(),'Assumption Table'!$D$23,'Assumption Table'!$E$23)))</f>
        <v>0.21028560534032842</v>
      </c>
      <c r="BJ25" s="10"/>
      <c r="BK25" s="99"/>
      <c r="BL25" s="99"/>
      <c r="BM25" s="99"/>
      <c r="BN25" s="99"/>
      <c r="BO25" s="99"/>
    </row>
    <row r="26" spans="1:67" ht="13.4" customHeight="1">
      <c r="A26" s="22" t="s">
        <v>224</v>
      </c>
      <c r="B26" s="27">
        <f t="shared" ref="B26:AG26" ca="1" si="11">SUM(B22,B24)</f>
        <v>54982.63350952779</v>
      </c>
      <c r="C26" s="27">
        <f t="shared" ca="1" si="11"/>
        <v>122697.94494445462</v>
      </c>
      <c r="D26" s="27">
        <f t="shared" ca="1" si="11"/>
        <v>181794.97147639096</v>
      </c>
      <c r="E26" s="27">
        <f t="shared" ca="1" si="11"/>
        <v>169059.00544395109</v>
      </c>
      <c r="F26" s="27">
        <f t="shared" ca="1" si="11"/>
        <v>131464.56761949675</v>
      </c>
      <c r="G26" s="27">
        <f t="shared" ca="1" si="11"/>
        <v>327564.34831871046</v>
      </c>
      <c r="H26" s="27">
        <f t="shared" ca="1" si="11"/>
        <v>316299.74729287426</v>
      </c>
      <c r="I26" s="27">
        <f t="shared" ca="1" si="11"/>
        <v>373794.54178420396</v>
      </c>
      <c r="J26" s="27">
        <f t="shared" ca="1" si="11"/>
        <v>457422.25540695805</v>
      </c>
      <c r="K26" s="27">
        <f t="shared" ca="1" si="11"/>
        <v>509648.32938658306</v>
      </c>
      <c r="L26" s="27">
        <f t="shared" ca="1" si="11"/>
        <v>529869.97291074123</v>
      </c>
      <c r="M26" s="27">
        <f t="shared" ca="1" si="11"/>
        <v>735696.24652824504</v>
      </c>
      <c r="N26" s="27">
        <f t="shared" ca="1" si="11"/>
        <v>858354.32950544707</v>
      </c>
      <c r="O26" s="27">
        <f t="shared" ca="1" si="11"/>
        <v>801985.45883849356</v>
      </c>
      <c r="P26" s="27">
        <f t="shared" ca="1" si="11"/>
        <v>986751.0645901534</v>
      </c>
      <c r="Q26" s="27">
        <f t="shared" ca="1" si="11"/>
        <v>991530.44958831719</v>
      </c>
      <c r="R26" s="27">
        <f t="shared" ca="1" si="11"/>
        <v>766735.18708460138</v>
      </c>
      <c r="S26" s="27">
        <f t="shared" ca="1" si="11"/>
        <v>658491.36145306483</v>
      </c>
      <c r="T26" s="27">
        <f t="shared" ca="1" si="11"/>
        <v>520636.36929204932</v>
      </c>
      <c r="U26" s="27">
        <f t="shared" ca="1" si="11"/>
        <v>834142.42893261707</v>
      </c>
      <c r="V26" s="27">
        <f t="shared" ca="1" si="11"/>
        <v>930743.9952248286</v>
      </c>
      <c r="W26" s="27">
        <f t="shared" ca="1" si="11"/>
        <v>678551.24455688964</v>
      </c>
      <c r="X26" s="27">
        <f t="shared" ca="1" si="11"/>
        <v>1831598.1580325158</v>
      </c>
      <c r="Y26" s="27">
        <f t="shared" ca="1" si="11"/>
        <v>1093081.9972715948</v>
      </c>
      <c r="Z26" s="27">
        <f t="shared" ca="1" si="11"/>
        <v>1491218.5871365438</v>
      </c>
      <c r="AA26" s="27">
        <f t="shared" ca="1" si="11"/>
        <v>1655507.0022924691</v>
      </c>
      <c r="AB26" s="27">
        <f t="shared" ca="1" si="11"/>
        <v>966223.75308791548</v>
      </c>
      <c r="AC26" s="27">
        <f t="shared" ca="1" si="11"/>
        <v>2109789.152171121</v>
      </c>
      <c r="AD26" s="27">
        <f t="shared" ca="1" si="11"/>
        <v>2041999.3606950932</v>
      </c>
      <c r="AE26" s="27">
        <f t="shared" ca="1" si="11"/>
        <v>2999943.851184391</v>
      </c>
      <c r="AF26" s="27">
        <f t="shared" ca="1" si="11"/>
        <v>1357182.4148200741</v>
      </c>
      <c r="AG26" s="27">
        <f t="shared" ca="1" si="11"/>
        <v>782504.13879177871</v>
      </c>
      <c r="AH26" s="27">
        <f t="shared" ref="AH26:BI26" ca="1" si="12">SUM(AH22,AH24)</f>
        <v>1817312.8526323724</v>
      </c>
      <c r="AI26" s="27">
        <f t="shared" ca="1" si="12"/>
        <v>2385956.6128446842</v>
      </c>
      <c r="AJ26" s="27">
        <f t="shared" ca="1" si="12"/>
        <v>2424825.3570928853</v>
      </c>
      <c r="AK26" s="27">
        <f t="shared" ca="1" si="12"/>
        <v>1829996.6227898148</v>
      </c>
      <c r="AL26" s="27">
        <f t="shared" ca="1" si="12"/>
        <v>4453627.092095254</v>
      </c>
      <c r="AM26" s="27">
        <f t="shared" ca="1" si="12"/>
        <v>3384027.8244744949</v>
      </c>
      <c r="AN26" s="27">
        <f t="shared" ca="1" si="12"/>
        <v>1804613.4285473793</v>
      </c>
      <c r="AO26" s="27">
        <f t="shared" ca="1" si="12"/>
        <v>1707183.1248786659</v>
      </c>
      <c r="AP26" s="27">
        <f t="shared" ca="1" si="12"/>
        <v>1901449.6420037511</v>
      </c>
      <c r="AQ26" s="27">
        <f t="shared" ca="1" si="12"/>
        <v>2655698.844146668</v>
      </c>
      <c r="AR26" s="27">
        <f t="shared" ca="1" si="12"/>
        <v>1554787.0002100144</v>
      </c>
      <c r="AS26" s="27">
        <f t="shared" ca="1" si="12"/>
        <v>3287384.4146782793</v>
      </c>
      <c r="AT26" s="27">
        <f t="shared" ca="1" si="12"/>
        <v>4232477.3850841839</v>
      </c>
      <c r="AU26" s="27">
        <f t="shared" ca="1" si="12"/>
        <v>3334212.1936491486</v>
      </c>
      <c r="AV26" s="27">
        <f t="shared" ca="1" si="12"/>
        <v>3783182.3910529953</v>
      </c>
      <c r="AW26" s="27">
        <f t="shared" ca="1" si="12"/>
        <v>2092550.1705949863</v>
      </c>
      <c r="AX26" s="27">
        <f t="shared" ca="1" si="12"/>
        <v>3745361.8522853674</v>
      </c>
      <c r="AY26" s="27">
        <f t="shared" ca="1" si="12"/>
        <v>2678686.3529899395</v>
      </c>
      <c r="AZ26" s="27">
        <f t="shared" ca="1" si="12"/>
        <v>4858137.8519688603</v>
      </c>
      <c r="BA26" s="27">
        <f t="shared" ca="1" si="12"/>
        <v>3226099.170486134</v>
      </c>
      <c r="BB26" s="27">
        <f t="shared" ca="1" si="12"/>
        <v>5157647.3966574846</v>
      </c>
      <c r="BC26" s="27">
        <f t="shared" ca="1" si="12"/>
        <v>3296902.6450030752</v>
      </c>
      <c r="BD26" s="27">
        <f t="shared" ca="1" si="12"/>
        <v>5049039.3590404466</v>
      </c>
      <c r="BE26" s="27">
        <f t="shared" ca="1" si="12"/>
        <v>5546404.1265658829</v>
      </c>
      <c r="BF26" s="27">
        <f t="shared" ca="1" si="12"/>
        <v>5240231.5809628256</v>
      </c>
      <c r="BG26" s="27">
        <f t="shared" ca="1" si="12"/>
        <v>5711908.9312278721</v>
      </c>
      <c r="BH26" s="27">
        <f t="shared" ca="1" si="12"/>
        <v>4672636.5727206543</v>
      </c>
      <c r="BI26" s="97">
        <f t="shared" ca="1" si="12"/>
        <v>5010849.6548579074</v>
      </c>
      <c r="BJ26" s="21" t="str">
        <f>A26</f>
        <v>Total revenue from Subscription</v>
      </c>
      <c r="BK26" s="27">
        <f ca="1">SUMIFS($B26:$BI26,$B$4:$BI$4,"&lt;=12")</f>
        <v>3910294.5646221372</v>
      </c>
      <c r="BL26" s="27">
        <f ca="1">SUMIFS($B26:$BI26,$B$4:$BI$4,"&lt;=24",$B$4:$BI$4,"&gt;12")</f>
        <v>10952602.044370575</v>
      </c>
      <c r="BM26" s="27">
        <f ca="1">SUMIFS($B26:$BI26,$B$4:$BI$4,"&lt;=36",$B$4:$BI$4,"&gt;24")</f>
        <v>21862459.705539145</v>
      </c>
      <c r="BN26" s="27">
        <f ca="1">SUMIFS($B26:$BI26,$B$4:$BI$4,"&lt;=48",$B$4:$BI$4,"&gt;36")</f>
        <v>34191193.511415817</v>
      </c>
      <c r="BO26" s="27">
        <f ca="1">SUMIFS($B26:$BI26,$B$4:$BI$4,"&lt;=60",$B$4:$BI$4,"&gt;48")</f>
        <v>54193905.494766444</v>
      </c>
    </row>
    <row r="27" spans="1:67" ht="13.4" customHeight="1">
      <c r="A27" s="22"/>
      <c r="B27" s="6"/>
      <c r="C27" s="6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13"/>
      <c r="BJ27" s="21">
        <f>A27</f>
        <v>0</v>
      </c>
      <c r="BK27" s="6"/>
      <c r="BL27" s="6"/>
      <c r="BM27" s="6"/>
      <c r="BN27" s="6"/>
      <c r="BO27" s="6"/>
    </row>
    <row r="28" spans="1:67" ht="13.4" customHeight="1">
      <c r="A28" s="101" t="str">
        <f>'Assumption Table'!B26</f>
        <v>3. In-app purchase</v>
      </c>
      <c r="B28" s="6"/>
      <c r="C28" s="6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13"/>
      <c r="BJ28" s="102" t="str">
        <f>A28</f>
        <v>3. In-app purchase</v>
      </c>
      <c r="BK28" s="6"/>
      <c r="BL28" s="6"/>
      <c r="BM28" s="6"/>
      <c r="BN28" s="6"/>
      <c r="BO28" s="6"/>
    </row>
    <row r="29" spans="1:67" ht="13.4" customHeight="1">
      <c r="A29" s="6" t="s">
        <v>225</v>
      </c>
      <c r="B29" s="27">
        <f ca="1">'Assumption Table'!$C$28*B30*B$14*'Assumption Table'!$F$28</f>
        <v>23202.647551400743</v>
      </c>
      <c r="C29" s="27">
        <f ca="1">'Assumption Table'!$C$28*C30*C$14*'Assumption Table'!$F$28</f>
        <v>56264.673504073282</v>
      </c>
      <c r="D29" s="27">
        <f ca="1">'Assumption Table'!$C$28*D30*D$14*'Assumption Table'!$F$28</f>
        <v>54019.767077337034</v>
      </c>
      <c r="E29" s="27">
        <f ca="1">'Assumption Table'!$C$28*E30*E$14*'Assumption Table'!$F$28</f>
        <v>65148.400906160881</v>
      </c>
      <c r="F29" s="27">
        <f ca="1">'Assumption Table'!$C$28*F30*F$14*'Assumption Table'!$F$28</f>
        <v>104741.91491939193</v>
      </c>
      <c r="G29" s="27">
        <f ca="1">'Assumption Table'!$C$28*G30*G$14*'Assumption Table'!$F$28</f>
        <v>184419.27582187735</v>
      </c>
      <c r="H29" s="27">
        <f ca="1">'Assumption Table'!$C$28*H30*H$14*'Assumption Table'!$F$28</f>
        <v>131592.45969302076</v>
      </c>
      <c r="I29" s="27">
        <f ca="1">'Assumption Table'!$C$28*I30*I$14*'Assumption Table'!$F$28</f>
        <v>206292.51820975571</v>
      </c>
      <c r="J29" s="27">
        <f ca="1">'Assumption Table'!$C$28*J30*J$14*'Assumption Table'!$F$28</f>
        <v>215449.20230179984</v>
      </c>
      <c r="K29" s="27">
        <f ca="1">'Assumption Table'!$C$28*K30*K$14*'Assumption Table'!$F$28</f>
        <v>275775.59232061729</v>
      </c>
      <c r="L29" s="27">
        <f ca="1">'Assumption Table'!$C$28*L30*L$14*'Assumption Table'!$F$28</f>
        <v>328452.55285072699</v>
      </c>
      <c r="M29" s="27">
        <f ca="1">'Assumption Table'!$C$28*M30*M$14*'Assumption Table'!$F$28</f>
        <v>280884.02585031244</v>
      </c>
      <c r="N29" s="27">
        <f ca="1">'Assumption Table'!$C$28*N30*N$14*'Assumption Table'!$F$28</f>
        <v>360503.41365182155</v>
      </c>
      <c r="O29" s="27">
        <f ca="1">'Assumption Table'!$C$28*O30*O$14*'Assumption Table'!$F$28</f>
        <v>353041.92543158622</v>
      </c>
      <c r="P29" s="27">
        <f ca="1">'Assumption Table'!$C$28*P30*P$14*'Assumption Table'!$F$28</f>
        <v>392518.91142030765</v>
      </c>
      <c r="Q29" s="27">
        <f ca="1">'Assumption Table'!$C$28*Q30*Q$14*'Assumption Table'!$F$28</f>
        <v>591416.27911363449</v>
      </c>
      <c r="R29" s="27">
        <f ca="1">'Assumption Table'!$C$28*R30*R$14*'Assumption Table'!$F$28</f>
        <v>502240.80244447896</v>
      </c>
      <c r="S29" s="27">
        <f ca="1">'Assumption Table'!$C$28*S30*S$14*'Assumption Table'!$F$28</f>
        <v>328922.16488115274</v>
      </c>
      <c r="T29" s="27">
        <f ca="1">'Assumption Table'!$C$28*T30*T$14*'Assumption Table'!$F$28</f>
        <v>602786.94440474059</v>
      </c>
      <c r="U29" s="27">
        <f ca="1">'Assumption Table'!$C$28*U30*U$14*'Assumption Table'!$F$28</f>
        <v>616726.69773789658</v>
      </c>
      <c r="V29" s="27">
        <f ca="1">'Assumption Table'!$C$28*V30*V$14*'Assumption Table'!$F$28</f>
        <v>706486.98310144222</v>
      </c>
      <c r="W29" s="27">
        <f ca="1">'Assumption Table'!$C$28*W30*W$14*'Assumption Table'!$F$28</f>
        <v>810272.44827064779</v>
      </c>
      <c r="X29" s="27">
        <f ca="1">'Assumption Table'!$C$28*X30*X$14*'Assumption Table'!$F$28</f>
        <v>1050904.5895517035</v>
      </c>
      <c r="Y29" s="27">
        <f ca="1">'Assumption Table'!$C$28*Y30*Y$14*'Assumption Table'!$F$28</f>
        <v>707487.98001986614</v>
      </c>
      <c r="Z29" s="27">
        <f ca="1">'Assumption Table'!$C$28*Z30*Z$14*'Assumption Table'!$F$28</f>
        <v>981727.34363331692</v>
      </c>
      <c r="AA29" s="27">
        <f ca="1">'Assumption Table'!$C$28*AA30*AA$14*'Assumption Table'!$F$28</f>
        <v>696453.78869375761</v>
      </c>
      <c r="AB29" s="27">
        <f ca="1">'Assumption Table'!$C$28*AB30*AB$14*'Assumption Table'!$F$28</f>
        <v>653677.21513972688</v>
      </c>
      <c r="AC29" s="27">
        <f ca="1">'Assumption Table'!$C$28*AC30*AC$14*'Assumption Table'!$F$28</f>
        <v>1231992.044636121</v>
      </c>
      <c r="AD29" s="27">
        <f ca="1">'Assumption Table'!$C$28*AD30*AD$14*'Assumption Table'!$F$28</f>
        <v>847484.50318084727</v>
      </c>
      <c r="AE29" s="27">
        <f ca="1">'Assumption Table'!$C$28*AE30*AE$14*'Assumption Table'!$F$28</f>
        <v>1260347.6109244917</v>
      </c>
      <c r="AF29" s="27">
        <f ca="1">'Assumption Table'!$C$28*AF30*AF$14*'Assumption Table'!$F$28</f>
        <v>888580.15506234509</v>
      </c>
      <c r="AG29" s="27">
        <f ca="1">'Assumption Table'!$C$28*AG30*AG$14*'Assumption Table'!$F$28</f>
        <v>538568.72686380113</v>
      </c>
      <c r="AH29" s="27">
        <f ca="1">'Assumption Table'!$C$28*AH30*AH$14*'Assumption Table'!$F$28</f>
        <v>914816.3689260683</v>
      </c>
      <c r="AI29" s="27">
        <f ca="1">'Assumption Table'!$C$28*AI30*AI$14*'Assumption Table'!$F$28</f>
        <v>939571.03912661236</v>
      </c>
      <c r="AJ29" s="27">
        <f ca="1">'Assumption Table'!$C$28*AJ30*AJ$14*'Assumption Table'!$F$28</f>
        <v>1551614.7479380413</v>
      </c>
      <c r="AK29" s="27">
        <f ca="1">'Assumption Table'!$C$28*AK30*AK$14*'Assumption Table'!$F$28</f>
        <v>909923.17845637538</v>
      </c>
      <c r="AL29" s="27">
        <f ca="1">'Assumption Table'!$C$28*AL30*AL$14*'Assumption Table'!$F$28</f>
        <v>1830333.7307445088</v>
      </c>
      <c r="AM29" s="27">
        <f ca="1">'Assumption Table'!$C$28*AM30*AM$14*'Assumption Table'!$F$28</f>
        <v>1892923.0624869461</v>
      </c>
      <c r="AN29" s="27">
        <f ca="1">'Assumption Table'!$C$28*AN30*AN$14*'Assumption Table'!$F$28</f>
        <v>2240191.9202307174</v>
      </c>
      <c r="AO29" s="27">
        <f ca="1">'Assumption Table'!$C$28*AO30*AO$14*'Assumption Table'!$F$28</f>
        <v>947972.34641155181</v>
      </c>
      <c r="AP29" s="27">
        <f ca="1">'Assumption Table'!$C$28*AP30*AP$14*'Assumption Table'!$F$28</f>
        <v>713372.55694563058</v>
      </c>
      <c r="AQ29" s="27">
        <f ca="1">'Assumption Table'!$C$28*AQ30*AQ$14*'Assumption Table'!$F$28</f>
        <v>1683497.9020983812</v>
      </c>
      <c r="AR29" s="27">
        <f ca="1">'Assumption Table'!$C$28*AR30*AR$14*'Assumption Table'!$F$28</f>
        <v>1911851.1836446419</v>
      </c>
      <c r="AS29" s="27">
        <f ca="1">'Assumption Table'!$C$28*AS30*AS$14*'Assumption Table'!$F$28</f>
        <v>1582846.2695917217</v>
      </c>
      <c r="AT29" s="27">
        <f ca="1">'Assumption Table'!$C$28*AT30*AT$14*'Assumption Table'!$F$28</f>
        <v>1372596.0030383267</v>
      </c>
      <c r="AU29" s="27">
        <f ca="1">'Assumption Table'!$C$28*AU30*AU$14*'Assumption Table'!$F$28</f>
        <v>1154075.598505469</v>
      </c>
      <c r="AV29" s="27">
        <f ca="1">'Assumption Table'!$C$28*AV30*AV$14*'Assumption Table'!$F$28</f>
        <v>2403785.3343677535</v>
      </c>
      <c r="AW29" s="27">
        <f ca="1">'Assumption Table'!$C$28*AW30*AW$14*'Assumption Table'!$F$28</f>
        <v>1394787.6546848062</v>
      </c>
      <c r="AX29" s="27">
        <f ca="1">'Assumption Table'!$C$28*AX30*AX$14*'Assumption Table'!$F$28</f>
        <v>1713303.6299051647</v>
      </c>
      <c r="AY29" s="27">
        <f ca="1">'Assumption Table'!$C$28*AY30*AY$14*'Assumption Table'!$F$28</f>
        <v>2169618.4733282784</v>
      </c>
      <c r="AZ29" s="27">
        <f ca="1">'Assumption Table'!$C$28*AZ30*AZ$14*'Assumption Table'!$F$28</f>
        <v>1447080.7151078382</v>
      </c>
      <c r="BA29" s="27">
        <f ca="1">'Assumption Table'!$C$28*BA30*BA$14*'Assumption Table'!$F$28</f>
        <v>900663.65909669653</v>
      </c>
      <c r="BB29" s="27">
        <f ca="1">'Assumption Table'!$C$28*BB30*BB$14*'Assumption Table'!$F$28</f>
        <v>1870432.030061574</v>
      </c>
      <c r="BC29" s="27">
        <f ca="1">'Assumption Table'!$C$28*BC30*BC$14*'Assumption Table'!$F$28</f>
        <v>2765880.6627629194</v>
      </c>
      <c r="BD29" s="27">
        <f ca="1">'Assumption Table'!$C$28*BD30*BD$14*'Assumption Table'!$F$28</f>
        <v>3496790.0706541324</v>
      </c>
      <c r="BE29" s="27">
        <f ca="1">'Assumption Table'!$C$28*BE30*BE$14*'Assumption Table'!$F$28</f>
        <v>3258680.7182910638</v>
      </c>
      <c r="BF29" s="27">
        <f ca="1">'Assumption Table'!$C$28*BF30*BF$14*'Assumption Table'!$F$28</f>
        <v>2823381.5497641657</v>
      </c>
      <c r="BG29" s="27">
        <f ca="1">'Assumption Table'!$C$28*BG30*BG$14*'Assumption Table'!$F$28</f>
        <v>1731713.3385525644</v>
      </c>
      <c r="BH29" s="27">
        <f ca="1">'Assumption Table'!$C$28*BH30*BH$14*'Assumption Table'!$F$28</f>
        <v>1173671.7133448045</v>
      </c>
      <c r="BI29" s="97">
        <f ca="1">'Assumption Table'!$C$28*BI30*BI$14*'Assumption Table'!$F$28</f>
        <v>2777066.2326099174</v>
      </c>
      <c r="BJ29" s="19" t="str">
        <f>A29</f>
        <v>item 1</v>
      </c>
      <c r="BK29" s="27">
        <f ca="1">SUMIFS($B29:$BI29,$B$4:$BI$4,"&lt;=12")</f>
        <v>1926243.031006474</v>
      </c>
      <c r="BL29" s="27">
        <f ca="1">SUMIFS($B29:$BI29,$B$4:$BI$4,"&lt;=24",$B$4:$BI$4,"&gt;12")</f>
        <v>7023309.1400292786</v>
      </c>
      <c r="BM29" s="27">
        <f ca="1">SUMIFS($B29:$BI29,$B$4:$BI$4,"&lt;=36",$B$4:$BI$4,"&gt;24")</f>
        <v>11414756.722581504</v>
      </c>
      <c r="BN29" s="27">
        <f ca="1">SUMIFS($B29:$BI29,$B$4:$BI$4,"&lt;=48",$B$4:$BI$4,"&gt;36")</f>
        <v>19128233.562750451</v>
      </c>
      <c r="BO29" s="27">
        <f ca="1">SUMIFS($B29:$BI29,$B$4:$BI$4,"&lt;=60",$B$4:$BI$4,"&gt;48")</f>
        <v>26128282.793479118</v>
      </c>
    </row>
    <row r="30" spans="1:67" ht="13.4" customHeight="1">
      <c r="A30" s="98" t="s">
        <v>222</v>
      </c>
      <c r="B30" s="99">
        <f ca="1">MAX(0,MIN(1,NORMINV(RAND(),'Assumption Table'!$D$28,'Assumption Table'!$E$28)))</f>
        <v>0.40389395601453926</v>
      </c>
      <c r="C30" s="99">
        <f ca="1">MAX(0,MIN(1,NORMINV(RAND(),'Assumption Table'!$D$28,'Assumption Table'!$E$28)))</f>
        <v>0.44371586376872574</v>
      </c>
      <c r="D30" s="99">
        <f ca="1">MAX(0,MIN(1,NORMINV(RAND(),'Assumption Table'!$D$28,'Assumption Table'!$E$28)))</f>
        <v>0.27376791403577982</v>
      </c>
      <c r="E30" s="99">
        <f ca="1">MAX(0,MIN(1,NORMINV(RAND(),'Assumption Table'!$D$28,'Assumption Table'!$E$28)))</f>
        <v>0.34260425807942524</v>
      </c>
      <c r="F30" s="99">
        <f ca="1">MAX(0,MIN(1,NORMINV(RAND(),'Assumption Table'!$D$28,'Assumption Table'!$E$28)))</f>
        <v>0.3347985694555588</v>
      </c>
      <c r="G30" s="99">
        <f ca="1">MAX(0,MIN(1,NORMINV(RAND(),'Assumption Table'!$D$28,'Assumption Table'!$E$28)))</f>
        <v>0.51404130529006342</v>
      </c>
      <c r="H30" s="99">
        <f ca="1">MAX(0,MIN(1,NORMINV(RAND(),'Assumption Table'!$D$28,'Assumption Table'!$E$28)))</f>
        <v>0.32495698751024599</v>
      </c>
      <c r="I30" s="99">
        <f ca="1">MAX(0,MIN(1,NORMINV(RAND(),'Assumption Table'!$D$28,'Assumption Table'!$E$28)))</f>
        <v>0.41579854378109454</v>
      </c>
      <c r="J30" s="99">
        <f ca="1">MAX(0,MIN(1,NORMINV(RAND(),'Assumption Table'!$D$28,'Assumption Table'!$E$28)))</f>
        <v>0.38129218799637993</v>
      </c>
      <c r="K30" s="99">
        <f ca="1">MAX(0,MIN(1,NORMINV(RAND(),'Assumption Table'!$D$28,'Assumption Table'!$E$28)))</f>
        <v>0.41175420774587063</v>
      </c>
      <c r="L30" s="99">
        <f ca="1">MAX(0,MIN(1,NORMINV(RAND(),'Assumption Table'!$D$28,'Assumption Table'!$E$28)))</f>
        <v>0.46140474203612331</v>
      </c>
      <c r="M30" s="99">
        <f ca="1">MAX(0,MIN(1,NORMINV(RAND(),'Assumption Table'!$D$28,'Assumption Table'!$E$28)))</f>
        <v>0.4896879406864611</v>
      </c>
      <c r="N30" s="99">
        <f ca="1">MAX(0,MIN(1,NORMINV(RAND(),'Assumption Table'!$D$28,'Assumption Table'!$E$28)))</f>
        <v>0.35216724346261952</v>
      </c>
      <c r="O30" s="99">
        <f ca="1">MAX(0,MIN(1,NORMINV(RAND(),'Assumption Table'!$D$28,'Assumption Table'!$E$28)))</f>
        <v>0.40361966047989056</v>
      </c>
      <c r="P30" s="99">
        <f ca="1">MAX(0,MIN(1,NORMINV(RAND(),'Assumption Table'!$D$28,'Assumption Table'!$E$28)))</f>
        <v>0.32204237542034669</v>
      </c>
      <c r="Q30" s="99">
        <f ca="1">MAX(0,MIN(1,NORMINV(RAND(),'Assumption Table'!$D$28,'Assumption Table'!$E$28)))</f>
        <v>0.45939434834562248</v>
      </c>
      <c r="R30" s="99">
        <f ca="1">MAX(0,MIN(1,NORMINV(RAND(),'Assumption Table'!$D$28,'Assumption Table'!$E$28)))</f>
        <v>0.44060147746840461</v>
      </c>
      <c r="S30" s="99">
        <f ca="1">MAX(0,MIN(1,NORMINV(RAND(),'Assumption Table'!$D$28,'Assumption Table'!$E$28)))</f>
        <v>0.30562633536993006</v>
      </c>
      <c r="T30" s="99">
        <f ca="1">MAX(0,MIN(1,NORMINV(RAND(),'Assumption Table'!$D$28,'Assumption Table'!$E$28)))</f>
        <v>0.56153189255804747</v>
      </c>
      <c r="U30" s="99">
        <f ca="1">MAX(0,MIN(1,NORMINV(RAND(),'Assumption Table'!$D$28,'Assumption Table'!$E$28)))</f>
        <v>0.42298756319707875</v>
      </c>
      <c r="V30" s="99">
        <f ca="1">MAX(0,MIN(1,NORMINV(RAND(),'Assumption Table'!$D$28,'Assumption Table'!$E$28)))</f>
        <v>0.48785638559647415</v>
      </c>
      <c r="W30" s="99">
        <f ca="1">MAX(0,MIN(1,NORMINV(RAND(),'Assumption Table'!$D$28,'Assumption Table'!$E$28)))</f>
        <v>0.54741159268731321</v>
      </c>
      <c r="X30" s="99">
        <f ca="1">MAX(0,MIN(1,NORMINV(RAND(),'Assumption Table'!$D$28,'Assumption Table'!$E$28)))</f>
        <v>0.51708276470675607</v>
      </c>
      <c r="Y30" s="99">
        <f ca="1">MAX(0,MIN(1,NORMINV(RAND(),'Assumption Table'!$D$28,'Assumption Table'!$E$28)))</f>
        <v>0.43832874486406898</v>
      </c>
      <c r="Z30" s="99">
        <f ca="1">MAX(0,MIN(1,NORMINV(RAND(),'Assumption Table'!$D$28,'Assumption Table'!$E$28)))</f>
        <v>0.47468512582553579</v>
      </c>
      <c r="AA30" s="99">
        <f ca="1">MAX(0,MIN(1,NORMINV(RAND(),'Assumption Table'!$D$28,'Assumption Table'!$E$28)))</f>
        <v>0.3431035630086523</v>
      </c>
      <c r="AB30" s="99">
        <f ca="1">MAX(0,MIN(1,NORMINV(RAND(),'Assumption Table'!$D$28,'Assumption Table'!$E$28)))</f>
        <v>0.44180739149370202</v>
      </c>
      <c r="AC30" s="99">
        <f ca="1">MAX(0,MIN(1,NORMINV(RAND(),'Assumption Table'!$D$28,'Assumption Table'!$E$28)))</f>
        <v>0.42254933032431025</v>
      </c>
      <c r="AD30" s="99">
        <f ca="1">MAX(0,MIN(1,NORMINV(RAND(),'Assumption Table'!$D$28,'Assumption Table'!$E$28)))</f>
        <v>0.35946987237913774</v>
      </c>
      <c r="AE30" s="99">
        <f ca="1">MAX(0,MIN(1,NORMINV(RAND(),'Assumption Table'!$D$28,'Assumption Table'!$E$28)))</f>
        <v>0.37432361421231769</v>
      </c>
      <c r="AF30" s="99">
        <f ca="1">MAX(0,MIN(1,NORMINV(RAND(),'Assumption Table'!$D$28,'Assumption Table'!$E$28)))</f>
        <v>0.43031156033022788</v>
      </c>
      <c r="AG30" s="99">
        <f ca="1">MAX(0,MIN(1,NORMINV(RAND(),'Assumption Table'!$D$28,'Assumption Table'!$E$28)))</f>
        <v>0.333707776851003</v>
      </c>
      <c r="AH30" s="99">
        <f ca="1">MAX(0,MIN(1,NORMINV(RAND(),'Assumption Table'!$D$28,'Assumption Table'!$E$28)))</f>
        <v>0.4778248669515911</v>
      </c>
      <c r="AI30" s="99">
        <f ca="1">MAX(0,MIN(1,NORMINV(RAND(),'Assumption Table'!$D$28,'Assumption Table'!$E$28)))</f>
        <v>0.42029850779840472</v>
      </c>
      <c r="AJ30" s="99">
        <f ca="1">MAX(0,MIN(1,NORMINV(RAND(),'Assumption Table'!$D$28,'Assumption Table'!$E$28)))</f>
        <v>0.43072998726439393</v>
      </c>
      <c r="AK30" s="99">
        <f ca="1">MAX(0,MIN(1,NORMINV(RAND(),'Assumption Table'!$D$28,'Assumption Table'!$E$28)))</f>
        <v>0.40485232740427329</v>
      </c>
      <c r="AL30" s="99">
        <f ca="1">MAX(0,MIN(1,NORMINV(RAND(),'Assumption Table'!$D$28,'Assumption Table'!$E$28)))</f>
        <v>0.45695933818520407</v>
      </c>
      <c r="AM30" s="99">
        <f ca="1">MAX(0,MIN(1,NORMINV(RAND(),'Assumption Table'!$D$28,'Assumption Table'!$E$28)))</f>
        <v>0.44896470483979167</v>
      </c>
      <c r="AN30" s="99">
        <f ca="1">MAX(0,MIN(1,NORMINV(RAND(),'Assumption Table'!$D$28,'Assumption Table'!$E$28)))</f>
        <v>0.50294725984696809</v>
      </c>
      <c r="AO30" s="99">
        <f ca="1">MAX(0,MIN(1,NORMINV(RAND(),'Assumption Table'!$D$28,'Assumption Table'!$E$28)))</f>
        <v>0.27127847646420489</v>
      </c>
      <c r="AP30" s="99">
        <f ca="1">MAX(0,MIN(1,NORMINV(RAND(),'Assumption Table'!$D$28,'Assumption Table'!$E$28)))</f>
        <v>0.31282746784399679</v>
      </c>
      <c r="AQ30" s="99">
        <f ca="1">MAX(0,MIN(1,NORMINV(RAND(),'Assumption Table'!$D$28,'Assumption Table'!$E$28)))</f>
        <v>0.59443145736265168</v>
      </c>
      <c r="AR30" s="99">
        <f ca="1">MAX(0,MIN(1,NORMINV(RAND(),'Assumption Table'!$D$28,'Assumption Table'!$E$28)))</f>
        <v>0.5504431568210163</v>
      </c>
      <c r="AS30" s="99">
        <f ca="1">MAX(0,MIN(1,NORMINV(RAND(),'Assumption Table'!$D$28,'Assumption Table'!$E$28)))</f>
        <v>0.43175552634682279</v>
      </c>
      <c r="AT30" s="99">
        <f ca="1">MAX(0,MIN(1,NORMINV(RAND(),'Assumption Table'!$D$28,'Assumption Table'!$E$28)))</f>
        <v>0.3708105956160177</v>
      </c>
      <c r="AU30" s="99">
        <f ca="1">MAX(0,MIN(1,NORMINV(RAND(),'Assumption Table'!$D$28,'Assumption Table'!$E$28)))</f>
        <v>0.28352337859504001</v>
      </c>
      <c r="AV30" s="99">
        <f ca="1">MAX(0,MIN(1,NORMINV(RAND(),'Assumption Table'!$D$28,'Assumption Table'!$E$28)))</f>
        <v>0.46444098118436494</v>
      </c>
      <c r="AW30" s="99">
        <f ca="1">MAX(0,MIN(1,NORMINV(RAND(),'Assumption Table'!$D$28,'Assumption Table'!$E$28)))</f>
        <v>0.41755504127140053</v>
      </c>
      <c r="AX30" s="99">
        <f ca="1">MAX(0,MIN(1,NORMINV(RAND(),'Assumption Table'!$D$28,'Assumption Table'!$E$28)))</f>
        <v>0.40833786251353943</v>
      </c>
      <c r="AY30" s="99">
        <f ca="1">MAX(0,MIN(1,NORMINV(RAND(),'Assumption Table'!$D$28,'Assumption Table'!$E$28)))</f>
        <v>0.48549877308958855</v>
      </c>
      <c r="AZ30" s="99">
        <f ca="1">MAX(0,MIN(1,NORMINV(RAND(),'Assumption Table'!$D$28,'Assumption Table'!$E$28)))</f>
        <v>0.30212793130993676</v>
      </c>
      <c r="BA30" s="99">
        <f ca="1">MAX(0,MIN(1,NORMINV(RAND(),'Assumption Table'!$D$28,'Assumption Table'!$E$28)))</f>
        <v>0.19818521822582921</v>
      </c>
      <c r="BB30" s="99">
        <f ca="1">MAX(0,MIN(1,NORMINV(RAND(),'Assumption Table'!$D$28,'Assumption Table'!$E$28)))</f>
        <v>0.43050018223134762</v>
      </c>
      <c r="BC30" s="99">
        <f ca="1">MAX(0,MIN(1,NORMINV(RAND(),'Assumption Table'!$D$28,'Assumption Table'!$E$28)))</f>
        <v>0.5561464020373168</v>
      </c>
      <c r="BD30" s="99">
        <f ca="1">MAX(0,MIN(1,NORMINV(RAND(),'Assumption Table'!$D$28,'Assumption Table'!$E$28)))</f>
        <v>0.54391192371227426</v>
      </c>
      <c r="BE30" s="99">
        <f ca="1">MAX(0,MIN(1,NORMINV(RAND(),'Assumption Table'!$D$28,'Assumption Table'!$E$28)))</f>
        <v>0.45072676068125161</v>
      </c>
      <c r="BF30" s="99">
        <f ca="1">MAX(0,MIN(1,NORMINV(RAND(),'Assumption Table'!$D$28,'Assumption Table'!$E$28)))</f>
        <v>0.37470562266085744</v>
      </c>
      <c r="BG30" s="99">
        <f ca="1">MAX(0,MIN(1,NORMINV(RAND(),'Assumption Table'!$D$28,'Assumption Table'!$E$28)))</f>
        <v>0.26494034029617397</v>
      </c>
      <c r="BH30" s="99">
        <f ca="1">MAX(0,MIN(1,NORMINV(RAND(),'Assumption Table'!$D$28,'Assumption Table'!$E$28)))</f>
        <v>0.25547087334984031</v>
      </c>
      <c r="BI30" s="100">
        <f ca="1">MAX(0,MIN(1,NORMINV(RAND(),'Assumption Table'!$D$28,'Assumption Table'!$E$28)))</f>
        <v>0.38140510066338318</v>
      </c>
      <c r="BJ30" s="10"/>
      <c r="BK30" s="99"/>
      <c r="BL30" s="99"/>
      <c r="BM30" s="99"/>
      <c r="BN30" s="99"/>
      <c r="BO30" s="99"/>
    </row>
    <row r="31" spans="1:67" ht="13.4" customHeight="1">
      <c r="A31" s="6" t="s">
        <v>226</v>
      </c>
      <c r="B31" s="27">
        <f ca="1">'Assumption Table'!$C$29*B32*B$14*'Assumption Table'!$F$29</f>
        <v>28386.905597189016</v>
      </c>
      <c r="C31" s="27">
        <f ca="1">'Assumption Table'!$C$29*C32*C$14*'Assumption Table'!$F$29</f>
        <v>68367.120735933699</v>
      </c>
      <c r="D31" s="27">
        <f ca="1">'Assumption Table'!$C$29*D32*D$14*'Assumption Table'!$F$29</f>
        <v>73544.401185302733</v>
      </c>
      <c r="E31" s="27">
        <f ca="1">'Assumption Table'!$C$29*E32*E$14*'Assumption Table'!$F$29</f>
        <v>48303.883852041283</v>
      </c>
      <c r="F31" s="27">
        <f ca="1">'Assumption Table'!$C$29*F32*F$14*'Assumption Table'!$F$29</f>
        <v>149140.49456888024</v>
      </c>
      <c r="G31" s="27">
        <f ca="1">'Assumption Table'!$C$29*G32*G$14*'Assumption Table'!$F$29</f>
        <v>150433.90904391478</v>
      </c>
      <c r="H31" s="27">
        <f ca="1">'Assumption Table'!$C$29*H32*H$14*'Assumption Table'!$F$29</f>
        <v>68155.091258197877</v>
      </c>
      <c r="I31" s="27">
        <f ca="1">'Assumption Table'!$C$29*I32*I$14*'Assumption Table'!$F$29</f>
        <v>200899.74548065171</v>
      </c>
      <c r="J31" s="27">
        <f ca="1">'Assumption Table'!$C$29*J32*J$14*'Assumption Table'!$F$29</f>
        <v>403961.80597323389</v>
      </c>
      <c r="K31" s="27">
        <f ca="1">'Assumption Table'!$C$29*K32*K$14*'Assumption Table'!$F$29</f>
        <v>514649.94701594906</v>
      </c>
      <c r="L31" s="27">
        <f ca="1">'Assumption Table'!$C$29*L32*L$14*'Assumption Table'!$F$29</f>
        <v>241837.75076811225</v>
      </c>
      <c r="M31" s="27">
        <f ca="1">'Assumption Table'!$C$29*M32*M$14*'Assumption Table'!$F$29</f>
        <v>16614.287942647097</v>
      </c>
      <c r="N31" s="27">
        <f ca="1">'Assumption Table'!$C$29*N32*N$14*'Assumption Table'!$F$29</f>
        <v>477449.33918829204</v>
      </c>
      <c r="O31" s="27">
        <f ca="1">'Assumption Table'!$C$29*O32*O$14*'Assumption Table'!$F$29</f>
        <v>132983.50796607937</v>
      </c>
      <c r="P31" s="27">
        <f ca="1">'Assumption Table'!$C$29*P32*P$14*'Assumption Table'!$F$29</f>
        <v>495886.64925954235</v>
      </c>
      <c r="Q31" s="27">
        <f ca="1">'Assumption Table'!$C$29*Q32*Q$14*'Assumption Table'!$F$29</f>
        <v>456583.36698364012</v>
      </c>
      <c r="R31" s="27">
        <f ca="1">'Assumption Table'!$C$29*R32*R$14*'Assumption Table'!$F$29</f>
        <v>618755.09536997252</v>
      </c>
      <c r="S31" s="27">
        <f ca="1">'Assumption Table'!$C$29*S32*S$14*'Assumption Table'!$F$29</f>
        <v>314037.89239375689</v>
      </c>
      <c r="T31" s="27">
        <f ca="1">'Assumption Table'!$C$29*T32*T$14*'Assumption Table'!$F$29</f>
        <v>553435.10200051859</v>
      </c>
      <c r="U31" s="27">
        <f ca="1">'Assumption Table'!$C$29*U32*U$14*'Assumption Table'!$F$29</f>
        <v>621184.40672586288</v>
      </c>
      <c r="V31" s="27">
        <f ca="1">'Assumption Table'!$C$29*V32*V$14*'Assumption Table'!$F$29</f>
        <v>423050.87607115152</v>
      </c>
      <c r="W31" s="27">
        <f ca="1">'Assumption Table'!$C$29*W32*W$14*'Assumption Table'!$F$29</f>
        <v>419343.19049557613</v>
      </c>
      <c r="X31" s="27">
        <f ca="1">'Assumption Table'!$C$29*X32*X$14*'Assumption Table'!$F$29</f>
        <v>537919.83359283453</v>
      </c>
      <c r="Y31" s="27">
        <f ca="1">'Assumption Table'!$C$29*Y32*Y$14*'Assumption Table'!$F$29</f>
        <v>434479.19957543677</v>
      </c>
      <c r="Z31" s="27">
        <f ca="1">'Assumption Table'!$C$29*Z32*Z$14*'Assumption Table'!$F$29</f>
        <v>809276.85557678726</v>
      </c>
      <c r="AA31" s="27">
        <f ca="1">'Assumption Table'!$C$29*AA32*AA$14*'Assumption Table'!$F$29</f>
        <v>775688.18467133271</v>
      </c>
      <c r="AB31" s="27">
        <f ca="1">'Assumption Table'!$C$29*AB32*AB$14*'Assumption Table'!$F$29</f>
        <v>585833.35182083235</v>
      </c>
      <c r="AC31" s="27">
        <f ca="1">'Assumption Table'!$C$29*AC32*AC$14*'Assumption Table'!$F$29</f>
        <v>1143128.4016005693</v>
      </c>
      <c r="AD31" s="27">
        <f ca="1">'Assumption Table'!$C$29*AD32*AD$14*'Assumption Table'!$F$29</f>
        <v>248009.21080271495</v>
      </c>
      <c r="AE31" s="27">
        <f ca="1">'Assumption Table'!$C$29*AE32*AE$14*'Assumption Table'!$F$29</f>
        <v>1596916.5429563317</v>
      </c>
      <c r="AF31" s="27">
        <f ca="1">'Assumption Table'!$C$29*AF32*AF$14*'Assumption Table'!$F$29</f>
        <v>941043.70887711458</v>
      </c>
      <c r="AG31" s="27">
        <f ca="1">'Assumption Table'!$C$29*AG32*AG$14*'Assumption Table'!$F$29</f>
        <v>675602.72618902498</v>
      </c>
      <c r="AH31" s="27">
        <f ca="1">'Assumption Table'!$C$29*AH32*AH$14*'Assumption Table'!$F$29</f>
        <v>676761.83419539337</v>
      </c>
      <c r="AI31" s="27">
        <f ca="1">'Assumption Table'!$C$29*AI32*AI$14*'Assumption Table'!$F$29</f>
        <v>956988.38520828425</v>
      </c>
      <c r="AJ31" s="27">
        <f ca="1">'Assumption Table'!$C$29*AJ32*AJ$14*'Assumption Table'!$F$29</f>
        <v>1343851.9253354778</v>
      </c>
      <c r="AK31" s="27">
        <f ca="1">'Assumption Table'!$C$29*AK32*AK$14*'Assumption Table'!$F$29</f>
        <v>510532.02327780856</v>
      </c>
      <c r="AL31" s="27">
        <f ca="1">'Assumption Table'!$C$29*AL32*AL$14*'Assumption Table'!$F$29</f>
        <v>1346868.4015023047</v>
      </c>
      <c r="AM31" s="27">
        <f ca="1">'Assumption Table'!$C$29*AM32*AM$14*'Assumption Table'!$F$29</f>
        <v>2835664.9729668302</v>
      </c>
      <c r="AN31" s="27">
        <f ca="1">'Assumption Table'!$C$29*AN32*AN$14*'Assumption Table'!$F$29</f>
        <v>926436.13122610573</v>
      </c>
      <c r="AO31" s="27">
        <f ca="1">'Assumption Table'!$C$29*AO32*AO$14*'Assumption Table'!$F$29</f>
        <v>1459498.5838177863</v>
      </c>
      <c r="AP31" s="27">
        <f ca="1">'Assumption Table'!$C$29*AP32*AP$14*'Assumption Table'!$F$29</f>
        <v>1139034.2724971646</v>
      </c>
      <c r="AQ31" s="27">
        <f ca="1">'Assumption Table'!$C$29*AQ32*AQ$14*'Assumption Table'!$F$29</f>
        <v>1311043.1263922343</v>
      </c>
      <c r="AR31" s="27">
        <f ca="1">'Assumption Table'!$C$29*AR32*AR$14*'Assumption Table'!$F$29</f>
        <v>559487.59551179025</v>
      </c>
      <c r="AS31" s="27">
        <f ca="1">'Assumption Table'!$C$29*AS32*AS$14*'Assumption Table'!$F$29</f>
        <v>1219903.8645960609</v>
      </c>
      <c r="AT31" s="27">
        <f ca="1">'Assumption Table'!$C$29*AT32*AT$14*'Assumption Table'!$F$29</f>
        <v>1350762.3483845075</v>
      </c>
      <c r="AU31" s="27">
        <f ca="1">'Assumption Table'!$C$29*AU32*AU$14*'Assumption Table'!$F$29</f>
        <v>1614870.8038465544</v>
      </c>
      <c r="AV31" s="27">
        <f ca="1">'Assumption Table'!$C$29*AV32*AV$14*'Assumption Table'!$F$29</f>
        <v>1725960.8095000677</v>
      </c>
      <c r="AW31" s="27">
        <f ca="1">'Assumption Table'!$C$29*AW32*AW$14*'Assumption Table'!$F$29</f>
        <v>1577889.0672756697</v>
      </c>
      <c r="AX31" s="27">
        <f ca="1">'Assumption Table'!$C$29*AX32*AX$14*'Assumption Table'!$F$29</f>
        <v>1811035.2105266813</v>
      </c>
      <c r="AY31" s="27">
        <f ca="1">'Assumption Table'!$C$29*AY32*AY$14*'Assumption Table'!$F$29</f>
        <v>2241915.3963437416</v>
      </c>
      <c r="AZ31" s="27">
        <f ca="1">'Assumption Table'!$C$29*AZ32*AZ$14*'Assumption Table'!$F$29</f>
        <v>1996291.7032086058</v>
      </c>
      <c r="BA31" s="27">
        <f ca="1">'Assumption Table'!$C$29*BA32*BA$14*'Assumption Table'!$F$29</f>
        <v>1510183.1703387829</v>
      </c>
      <c r="BB31" s="27">
        <f ca="1">'Assumption Table'!$C$29*BB32*BB$14*'Assumption Table'!$F$29</f>
        <v>1259747.5993367133</v>
      </c>
      <c r="BC31" s="27">
        <f ca="1">'Assumption Table'!$C$29*BC32*BC$14*'Assumption Table'!$F$29</f>
        <v>2021154.0906688327</v>
      </c>
      <c r="BD31" s="27">
        <f ca="1">'Assumption Table'!$C$29*BD32*BD$14*'Assumption Table'!$F$29</f>
        <v>2401418.6641471242</v>
      </c>
      <c r="BE31" s="27">
        <f ca="1">'Assumption Table'!$C$29*BE32*BE$14*'Assumption Table'!$F$29</f>
        <v>1971155.1988226594</v>
      </c>
      <c r="BF31" s="27">
        <f ca="1">'Assumption Table'!$C$29*BF32*BF$14*'Assumption Table'!$F$29</f>
        <v>3470103.6808058228</v>
      </c>
      <c r="BG31" s="27">
        <f ca="1">'Assumption Table'!$C$29*BG32*BG$14*'Assumption Table'!$F$29</f>
        <v>3796261.2398773688</v>
      </c>
      <c r="BH31" s="27">
        <f ca="1">'Assumption Table'!$C$29*BH32*BH$14*'Assumption Table'!$F$29</f>
        <v>1077101.5316766025</v>
      </c>
      <c r="BI31" s="97">
        <f ca="1">'Assumption Table'!$C$29*BI32*BI$14*'Assumption Table'!$F$29</f>
        <v>2794379.0371564361</v>
      </c>
      <c r="BJ31" s="19" t="str">
        <f>A31</f>
        <v>item 2</v>
      </c>
      <c r="BK31" s="27">
        <f ca="1">SUMIFS($B31:$BI31,$B$4:$BI$4,"&lt;=12")</f>
        <v>1964295.3434220536</v>
      </c>
      <c r="BL31" s="27">
        <f ca="1">SUMIFS($B31:$BI31,$B$4:$BI$4,"&lt;=24",$B$4:$BI$4,"&gt;12")</f>
        <v>5485108.4596226644</v>
      </c>
      <c r="BM31" s="27">
        <f ca="1">SUMIFS($B31:$BI31,$B$4:$BI$4,"&lt;=36",$B$4:$BI$4,"&gt;24")</f>
        <v>10263633.150511671</v>
      </c>
      <c r="BN31" s="27">
        <f ca="1">SUMIFS($B31:$BI31,$B$4:$BI$4,"&lt;=48",$B$4:$BI$4,"&gt;36")</f>
        <v>17067419.97751708</v>
      </c>
      <c r="BO31" s="27">
        <f ca="1">SUMIFS($B31:$BI31,$B$4:$BI$4,"&lt;=60",$B$4:$BI$4,"&gt;48")</f>
        <v>26350746.522909369</v>
      </c>
    </row>
    <row r="32" spans="1:67" ht="13.4" customHeight="1">
      <c r="A32" s="98" t="s">
        <v>222</v>
      </c>
      <c r="B32" s="99">
        <f ca="1">MAX(0,MIN(1,NORMINV(RAND(),'Assumption Table'!$D$29,'Assumption Table'!$E$29)))</f>
        <v>0.37359794159430149</v>
      </c>
      <c r="C32" s="99">
        <f ca="1">MAX(0,MIN(1,NORMINV(RAND(),'Assumption Table'!$D$29,'Assumption Table'!$E$29)))</f>
        <v>0.40763648965860538</v>
      </c>
      <c r="D32" s="99">
        <f ca="1">MAX(0,MIN(1,NORMINV(RAND(),'Assumption Table'!$D$29,'Assumption Table'!$E$29)))</f>
        <v>0.28179680572243465</v>
      </c>
      <c r="E32" s="99">
        <f ca="1">MAX(0,MIN(1,NORMINV(RAND(),'Assumption Table'!$D$29,'Assumption Table'!$E$29)))</f>
        <v>0.19205590187265803</v>
      </c>
      <c r="F32" s="99">
        <f ca="1">MAX(0,MIN(1,NORMINV(RAND(),'Assumption Table'!$D$29,'Assumption Table'!$E$29)))</f>
        <v>0.36042530375622689</v>
      </c>
      <c r="G32" s="99">
        <f ca="1">MAX(0,MIN(1,NORMINV(RAND(),'Assumption Table'!$D$29,'Assumption Table'!$E$29)))</f>
        <v>0.31702539792347711</v>
      </c>
      <c r="H32" s="99">
        <f ca="1">MAX(0,MIN(1,NORMINV(RAND(),'Assumption Table'!$D$29,'Assumption Table'!$E$29)))</f>
        <v>0.12724765539801153</v>
      </c>
      <c r="I32" s="99">
        <f ca="1">MAX(0,MIN(1,NORMINV(RAND(),'Assumption Table'!$D$29,'Assumption Table'!$E$29)))</f>
        <v>0.30615085969320216</v>
      </c>
      <c r="J32" s="99">
        <f ca="1">MAX(0,MIN(1,NORMINV(RAND(),'Assumption Table'!$D$29,'Assumption Table'!$E$29)))</f>
        <v>0.54051771503330437</v>
      </c>
      <c r="K32" s="99">
        <f ca="1">MAX(0,MIN(1,NORMINV(RAND(),'Assumption Table'!$D$29,'Assumption Table'!$E$29)))</f>
        <v>0.58096606094014469</v>
      </c>
      <c r="L32" s="99">
        <f ca="1">MAX(0,MIN(1,NORMINV(RAND(),'Assumption Table'!$D$29,'Assumption Table'!$E$29)))</f>
        <v>0.25685623773072269</v>
      </c>
      <c r="M32" s="99">
        <f ca="1">MAX(0,MIN(1,NORMINV(RAND(),'Assumption Table'!$D$29,'Assumption Table'!$E$29)))</f>
        <v>2.1899324094028505E-2</v>
      </c>
      <c r="N32" s="99">
        <f ca="1">MAX(0,MIN(1,NORMINV(RAND(),'Assumption Table'!$D$29,'Assumption Table'!$E$29)))</f>
        <v>0.35263343140041792</v>
      </c>
      <c r="O32" s="99">
        <f ca="1">MAX(0,MIN(1,NORMINV(RAND(),'Assumption Table'!$D$29,'Assumption Table'!$E$29)))</f>
        <v>0.11494773677963399</v>
      </c>
      <c r="P32" s="99">
        <f ca="1">MAX(0,MIN(1,NORMINV(RAND(),'Assumption Table'!$D$29,'Assumption Table'!$E$29)))</f>
        <v>0.30760363386474227</v>
      </c>
      <c r="Q32" s="99">
        <f ca="1">MAX(0,MIN(1,NORMINV(RAND(),'Assumption Table'!$D$29,'Assumption Table'!$E$29)))</f>
        <v>0.26814460896275766</v>
      </c>
      <c r="R32" s="99">
        <f ca="1">MAX(0,MIN(1,NORMINV(RAND(),'Assumption Table'!$D$29,'Assumption Table'!$E$29)))</f>
        <v>0.41040189298012097</v>
      </c>
      <c r="S32" s="99">
        <f ca="1">MAX(0,MIN(1,NORMINV(RAND(),'Assumption Table'!$D$29,'Assumption Table'!$E$29)))</f>
        <v>0.22061564034727518</v>
      </c>
      <c r="T32" s="99">
        <f ca="1">MAX(0,MIN(1,NORMINV(RAND(),'Assumption Table'!$D$29,'Assumption Table'!$E$29)))</f>
        <v>0.38979287914603622</v>
      </c>
      <c r="U32" s="99">
        <f ca="1">MAX(0,MIN(1,NORMINV(RAND(),'Assumption Table'!$D$29,'Assumption Table'!$E$29)))</f>
        <v>0.32211578275029945</v>
      </c>
      <c r="V32" s="99">
        <f ca="1">MAX(0,MIN(1,NORMINV(RAND(),'Assumption Table'!$D$29,'Assumption Table'!$E$29)))</f>
        <v>0.22087015616834774</v>
      </c>
      <c r="W32" s="99">
        <f ca="1">MAX(0,MIN(1,NORMINV(RAND(),'Assumption Table'!$D$29,'Assumption Table'!$E$29)))</f>
        <v>0.21419489886351817</v>
      </c>
      <c r="X32" s="99">
        <f ca="1">MAX(0,MIN(1,NORMINV(RAND(),'Assumption Table'!$D$29,'Assumption Table'!$E$29)))</f>
        <v>0.20011099020553813</v>
      </c>
      <c r="Y32" s="99">
        <f ca="1">MAX(0,MIN(1,NORMINV(RAND(),'Assumption Table'!$D$29,'Assumption Table'!$E$29)))</f>
        <v>0.20351971506036803</v>
      </c>
      <c r="Z32" s="99">
        <f ca="1">MAX(0,MIN(1,NORMINV(RAND(),'Assumption Table'!$D$29,'Assumption Table'!$E$29)))</f>
        <v>0.29584788325690248</v>
      </c>
      <c r="AA32" s="99">
        <f ca="1">MAX(0,MIN(1,NORMINV(RAND(),'Assumption Table'!$D$29,'Assumption Table'!$E$29)))</f>
        <v>0.28891940324713283</v>
      </c>
      <c r="AB32" s="99">
        <f ca="1">MAX(0,MIN(1,NORMINV(RAND(),'Assumption Table'!$D$29,'Assumption Table'!$E$29)))</f>
        <v>0.29936452373669276</v>
      </c>
      <c r="AC32" s="99">
        <f ca="1">MAX(0,MIN(1,NORMINV(RAND(),'Assumption Table'!$D$29,'Assumption Table'!$E$29)))</f>
        <v>0.29642930755475549</v>
      </c>
      <c r="AD32" s="99">
        <f ca="1">MAX(0,MIN(1,NORMINV(RAND(),'Assumption Table'!$D$29,'Assumption Table'!$E$29)))</f>
        <v>7.9534426224911331E-2</v>
      </c>
      <c r="AE32" s="99">
        <f ca="1">MAX(0,MIN(1,NORMINV(RAND(),'Assumption Table'!$D$29,'Assumption Table'!$E$29)))</f>
        <v>0.35858796777630891</v>
      </c>
      <c r="AF32" s="99">
        <f ca="1">MAX(0,MIN(1,NORMINV(RAND(),'Assumption Table'!$D$29,'Assumption Table'!$E$29)))</f>
        <v>0.34455044054718309</v>
      </c>
      <c r="AG32" s="99">
        <f ca="1">MAX(0,MIN(1,NORMINV(RAND(),'Assumption Table'!$D$29,'Assumption Table'!$E$29)))</f>
        <v>0.31649962486748739</v>
      </c>
      <c r="AH32" s="99">
        <f ca="1">MAX(0,MIN(1,NORMINV(RAND(),'Assumption Table'!$D$29,'Assumption Table'!$E$29)))</f>
        <v>0.2672558925963231</v>
      </c>
      <c r="AI32" s="99">
        <f ca="1">MAX(0,MIN(1,NORMINV(RAND(),'Assumption Table'!$D$29,'Assumption Table'!$E$29)))</f>
        <v>0.32366184333923381</v>
      </c>
      <c r="AJ32" s="99">
        <f ca="1">MAX(0,MIN(1,NORMINV(RAND(),'Assumption Table'!$D$29,'Assumption Table'!$E$29)))</f>
        <v>0.28205203487610919</v>
      </c>
      <c r="AK32" s="99">
        <f ca="1">MAX(0,MIN(1,NORMINV(RAND(),'Assumption Table'!$D$29,'Assumption Table'!$E$29)))</f>
        <v>0.17174002071509153</v>
      </c>
      <c r="AL32" s="99">
        <f ca="1">MAX(0,MIN(1,NORMINV(RAND(),'Assumption Table'!$D$29,'Assumption Table'!$E$29)))</f>
        <v>0.2542313172881851</v>
      </c>
      <c r="AM32" s="99">
        <f ca="1">MAX(0,MIN(1,NORMINV(RAND(),'Assumption Table'!$D$29,'Assumption Table'!$E$29)))</f>
        <v>0.50849977693424808</v>
      </c>
      <c r="AN32" s="99">
        <f ca="1">MAX(0,MIN(1,NORMINV(RAND(),'Assumption Table'!$D$29,'Assumption Table'!$E$29)))</f>
        <v>0.15725675662952193</v>
      </c>
      <c r="AO32" s="99">
        <f ca="1">MAX(0,MIN(1,NORMINV(RAND(),'Assumption Table'!$D$29,'Assumption Table'!$E$29)))</f>
        <v>0.31577660930967599</v>
      </c>
      <c r="AP32" s="99">
        <f ca="1">MAX(0,MIN(1,NORMINV(RAND(),'Assumption Table'!$D$29,'Assumption Table'!$E$29)))</f>
        <v>0.37764338603278214</v>
      </c>
      <c r="AQ32" s="99">
        <f ca="1">MAX(0,MIN(1,NORMINV(RAND(),'Assumption Table'!$D$29,'Assumption Table'!$E$29)))</f>
        <v>0.34999576772456265</v>
      </c>
      <c r="AR32" s="99">
        <f ca="1">MAX(0,MIN(1,NORMINV(RAND(),'Assumption Table'!$D$29,'Assumption Table'!$E$29)))</f>
        <v>0.12178827098131703</v>
      </c>
      <c r="AS32" s="99">
        <f ca="1">MAX(0,MIN(1,NORMINV(RAND(),'Assumption Table'!$D$29,'Assumption Table'!$E$29)))</f>
        <v>0.25158305430595768</v>
      </c>
      <c r="AT32" s="99">
        <f ca="1">MAX(0,MIN(1,NORMINV(RAND(),'Assumption Table'!$D$29,'Assumption Table'!$E$29)))</f>
        <v>0.27589571912912553</v>
      </c>
      <c r="AU32" s="99">
        <f ca="1">MAX(0,MIN(1,NORMINV(RAND(),'Assumption Table'!$D$29,'Assumption Table'!$E$29)))</f>
        <v>0.29995009914126319</v>
      </c>
      <c r="AV32" s="99">
        <f ca="1">MAX(0,MIN(1,NORMINV(RAND(),'Assumption Table'!$D$29,'Assumption Table'!$E$29)))</f>
        <v>0.25212876293559738</v>
      </c>
      <c r="AW32" s="99">
        <f ca="1">MAX(0,MIN(1,NORMINV(RAND(),'Assumption Table'!$D$29,'Assumption Table'!$E$29)))</f>
        <v>0.35714018053498281</v>
      </c>
      <c r="AX32" s="99">
        <f ca="1">MAX(0,MIN(1,NORMINV(RAND(),'Assumption Table'!$D$29,'Assumption Table'!$E$29)))</f>
        <v>0.32633888113541543</v>
      </c>
      <c r="AY32" s="99">
        <f ca="1">MAX(0,MIN(1,NORMINV(RAND(),'Assumption Table'!$D$29,'Assumption Table'!$E$29)))</f>
        <v>0.37929803805571144</v>
      </c>
      <c r="AZ32" s="99">
        <f ca="1">MAX(0,MIN(1,NORMINV(RAND(),'Assumption Table'!$D$29,'Assumption Table'!$E$29)))</f>
        <v>0.31512200648968169</v>
      </c>
      <c r="BA32" s="99">
        <f ca="1">MAX(0,MIN(1,NORMINV(RAND(),'Assumption Table'!$D$29,'Assumption Table'!$E$29)))</f>
        <v>0.25124351208451723</v>
      </c>
      <c r="BB32" s="99">
        <f ca="1">MAX(0,MIN(1,NORMINV(RAND(),'Assumption Table'!$D$29,'Assumption Table'!$E$29)))</f>
        <v>0.21921565131503595</v>
      </c>
      <c r="BC32" s="99">
        <f ca="1">MAX(0,MIN(1,NORMINV(RAND(),'Assumption Table'!$D$29,'Assumption Table'!$E$29)))</f>
        <v>0.30726403463911089</v>
      </c>
      <c r="BD32" s="99">
        <f ca="1">MAX(0,MIN(1,NORMINV(RAND(),'Assumption Table'!$D$29,'Assumption Table'!$E$29)))</f>
        <v>0.28241223713349645</v>
      </c>
      <c r="BE32" s="99">
        <f ca="1">MAX(0,MIN(1,NORMINV(RAND(),'Assumption Table'!$D$29,'Assumption Table'!$E$29)))</f>
        <v>0.2061336829928902</v>
      </c>
      <c r="BF32" s="99">
        <f ca="1">MAX(0,MIN(1,NORMINV(RAND(),'Assumption Table'!$D$29,'Assumption Table'!$E$29)))</f>
        <v>0.3481927296144614</v>
      </c>
      <c r="BG32" s="99">
        <f ca="1">MAX(0,MIN(1,NORMINV(RAND(),'Assumption Table'!$D$29,'Assumption Table'!$E$29)))</f>
        <v>0.43912158821492742</v>
      </c>
      <c r="BH32" s="99">
        <f ca="1">MAX(0,MIN(1,NORMINV(RAND(),'Assumption Table'!$D$29,'Assumption Table'!$E$29)))</f>
        <v>0.17725888307521434</v>
      </c>
      <c r="BI32" s="100">
        <f ca="1">MAX(0,MIN(1,NORMINV(RAND(),'Assumption Table'!$D$29,'Assumption Table'!$E$29)))</f>
        <v>0.29016310085547936</v>
      </c>
      <c r="BJ32" s="10"/>
      <c r="BK32" s="99"/>
      <c r="BL32" s="99"/>
      <c r="BM32" s="99"/>
      <c r="BN32" s="99"/>
      <c r="BO32" s="99"/>
    </row>
    <row r="33" spans="1:67" ht="13.4" customHeight="1">
      <c r="A33" s="6" t="s">
        <v>227</v>
      </c>
      <c r="B33" s="103">
        <f ca="1">'Assumption Table'!$C$30*B34*B$14</f>
        <v>38679.598372094712</v>
      </c>
      <c r="C33" s="103">
        <f ca="1">'Assumption Table'!$C$30*C34*C$14</f>
        <v>0</v>
      </c>
      <c r="D33" s="103">
        <f ca="1">'Assumption Table'!$C$30*D34*D$14</f>
        <v>150023.03290697691</v>
      </c>
      <c r="E33" s="103">
        <f ca="1">'Assumption Table'!$C$30*E34*E$14</f>
        <v>103642.47790882259</v>
      </c>
      <c r="F33" s="103">
        <f ca="1">'Assumption Table'!$C$30*F34*F$14</f>
        <v>79310.653286726883</v>
      </c>
      <c r="G33" s="103">
        <f ca="1">'Assumption Table'!$C$30*G34*G$14</f>
        <v>163353.18317587435</v>
      </c>
      <c r="H33" s="103">
        <f ca="1">'Assumption Table'!$C$30*H34*H$14</f>
        <v>295280.88808552112</v>
      </c>
      <c r="I33" s="103">
        <f ca="1">'Assumption Table'!$C$30*I34*I$14</f>
        <v>369793.16784959607</v>
      </c>
      <c r="J33" s="103">
        <f ca="1">'Assumption Table'!$C$30*J34*J$14</f>
        <v>185762.60468149729</v>
      </c>
      <c r="K33" s="103">
        <f ca="1">'Assumption Table'!$C$30*K34*K$14</f>
        <v>439126.69804144028</v>
      </c>
      <c r="L33" s="103">
        <f ca="1">'Assumption Table'!$C$30*L34*L$14</f>
        <v>499878.37432653166</v>
      </c>
      <c r="M33" s="103">
        <f ca="1">'Assumption Table'!$C$30*M34*M$14</f>
        <v>263801.02904981846</v>
      </c>
      <c r="N33" s="103">
        <f ca="1">'Assumption Table'!$C$30*N34*N$14</f>
        <v>450404.15175560897</v>
      </c>
      <c r="O33" s="103">
        <f ca="1">'Assumption Table'!$C$30*O34*O$14</f>
        <v>983603.80755715119</v>
      </c>
      <c r="P33" s="103">
        <f ca="1">'Assumption Table'!$C$30*P34*P$14</f>
        <v>1166575.9824525537</v>
      </c>
      <c r="Q33" s="103">
        <f ca="1">'Assumption Table'!$C$30*Q34*Q$14</f>
        <v>279238.53129014286</v>
      </c>
      <c r="R33" s="103">
        <f ca="1">'Assumption Table'!$C$30*R34*R$14</f>
        <v>925608.62795696501</v>
      </c>
      <c r="S33" s="103">
        <f ca="1">'Assumption Table'!$C$30*S34*S$14</f>
        <v>1418983.9048972046</v>
      </c>
      <c r="T33" s="103">
        <f ca="1">'Assumption Table'!$C$30*T34*T$14</f>
        <v>1123776.3531179398</v>
      </c>
      <c r="U33" s="103">
        <f ca="1">'Assumption Table'!$C$30*U34*U$14</f>
        <v>741056.0378167975</v>
      </c>
      <c r="V33" s="103">
        <f ca="1">'Assumption Table'!$C$30*V34*V$14</f>
        <v>768181.79416493326</v>
      </c>
      <c r="W33" s="103">
        <f ca="1">'Assumption Table'!$C$30*W34*W$14</f>
        <v>1446427.1206706066</v>
      </c>
      <c r="X33" s="103">
        <f ca="1">'Assumption Table'!$C$30*X34*X$14</f>
        <v>1232271.684392934</v>
      </c>
      <c r="Y33" s="103">
        <f ca="1">'Assumption Table'!$C$30*Y34*Y$14</f>
        <v>1197908.2781417856</v>
      </c>
      <c r="Z33" s="103">
        <f ca="1">'Assumption Table'!$C$30*Z34*Z$14</f>
        <v>1232668.2818638829</v>
      </c>
      <c r="AA33" s="103">
        <f ca="1">'Assumption Table'!$C$30*AA34*AA$14</f>
        <v>459142.19190929935</v>
      </c>
      <c r="AB33" s="103">
        <f ca="1">'Assumption Table'!$C$30*AB34*AB$14</f>
        <v>1144364.3005510222</v>
      </c>
      <c r="AC33" s="103">
        <f ca="1">'Assumption Table'!$C$30*AC34*AC$14</f>
        <v>794366.75557862956</v>
      </c>
      <c r="AD33" s="103">
        <f ca="1">'Assumption Table'!$C$30*AD34*AD$14</f>
        <v>986277.74193060666</v>
      </c>
      <c r="AE33" s="103">
        <f ca="1">'Assumption Table'!$C$30*AE34*AE$14</f>
        <v>1367825.3184755726</v>
      </c>
      <c r="AF33" s="103">
        <f ca="1">'Assumption Table'!$C$30*AF34*AF$14</f>
        <v>670721.74496980023</v>
      </c>
      <c r="AG33" s="103">
        <f ca="1">'Assumption Table'!$C$30*AG34*AG$14</f>
        <v>1508178.9533681963</v>
      </c>
      <c r="AH33" s="103">
        <f ca="1">'Assumption Table'!$C$30*AH34*AH$14</f>
        <v>732175.24156995595</v>
      </c>
      <c r="AI33" s="103">
        <f ca="1">'Assumption Table'!$C$30*AI34*AI$14</f>
        <v>1674956.0284348323</v>
      </c>
      <c r="AJ33" s="103">
        <f ca="1">'Assumption Table'!$C$30*AJ34*AJ$14</f>
        <v>3813179.0139123495</v>
      </c>
      <c r="AK33" s="103">
        <f ca="1">'Assumption Table'!$C$30*AK34*AK$14</f>
        <v>2127482.5840325695</v>
      </c>
      <c r="AL33" s="103">
        <f ca="1">'Assumption Table'!$C$30*AL34*AL$14</f>
        <v>2297071.9434719621</v>
      </c>
      <c r="AM33" s="103">
        <f ca="1">'Assumption Table'!$C$30*AM34*AM$14</f>
        <v>1611956.0745892012</v>
      </c>
      <c r="AN33" s="103">
        <f ca="1">'Assumption Table'!$C$30*AN34*AN$14</f>
        <v>1491595.5301553907</v>
      </c>
      <c r="AO33" s="103">
        <f ca="1">'Assumption Table'!$C$30*AO34*AO$14</f>
        <v>77197.898304556307</v>
      </c>
      <c r="AP33" s="103">
        <f ca="1">'Assumption Table'!$C$30*AP34*AP$14</f>
        <v>786892.09879390709</v>
      </c>
      <c r="AQ33" s="103">
        <f ca="1">'Assumption Table'!$C$30*AQ34*AQ$14</f>
        <v>990611.67255159887</v>
      </c>
      <c r="AR33" s="103">
        <f ca="1">'Assumption Table'!$C$30*AR34*AR$14</f>
        <v>797739.47288714303</v>
      </c>
      <c r="AS33" s="103">
        <f ca="1">'Assumption Table'!$C$30*AS34*AS$14</f>
        <v>3004518.7131214747</v>
      </c>
      <c r="AT33" s="103">
        <f ca="1">'Assumption Table'!$C$30*AT34*AT$14</f>
        <v>2899047.854069002</v>
      </c>
      <c r="AU33" s="103">
        <f ca="1">'Assumption Table'!$C$30*AU34*AU$14</f>
        <v>1062945.8125874675</v>
      </c>
      <c r="AV33" s="103">
        <f ca="1">'Assumption Table'!$C$30*AV34*AV$14</f>
        <v>2860667.6968164011</v>
      </c>
      <c r="AW33" s="103">
        <f ca="1">'Assumption Table'!$C$30*AW34*AW$14</f>
        <v>2801206.4543751269</v>
      </c>
      <c r="AX33" s="103">
        <f ca="1">'Assumption Table'!$C$30*AX34*AX$14</f>
        <v>2168505.7705419217</v>
      </c>
      <c r="AY33" s="103">
        <f ca="1">'Assumption Table'!$C$30*AY34*AY$14</f>
        <v>1751214.709801509</v>
      </c>
      <c r="AZ33" s="103">
        <f ca="1">'Assumption Table'!$C$30*AZ34*AZ$14</f>
        <v>2070302.8478355044</v>
      </c>
      <c r="BA33" s="103">
        <f ca="1">'Assumption Table'!$C$30*BA34*BA$14</f>
        <v>931223.989031857</v>
      </c>
      <c r="BB33" s="103">
        <f ca="1">'Assumption Table'!$C$30*BB34*BB$14</f>
        <v>2156526.9846488545</v>
      </c>
      <c r="BC33" s="103">
        <f ca="1">'Assumption Table'!$C$30*BC34*BC$14</f>
        <v>3526216.9408793193</v>
      </c>
      <c r="BD33" s="103">
        <f ca="1">'Assumption Table'!$C$30*BD34*BD$14</f>
        <v>1416131.4824860634</v>
      </c>
      <c r="BE33" s="103">
        <f ca="1">'Assumption Table'!$C$30*BE34*BE$14</f>
        <v>2404725.3444104437</v>
      </c>
      <c r="BF33" s="103">
        <f ca="1">'Assumption Table'!$C$30*BF34*BF$14</f>
        <v>3215761.9839850385</v>
      </c>
      <c r="BG33" s="103">
        <f ca="1">'Assumption Table'!$C$30*BG34*BG$14</f>
        <v>5909593.1359673738</v>
      </c>
      <c r="BH33" s="103">
        <f ca="1">'Assumption Table'!$C$30*BH34*BH$14</f>
        <v>2093586.7039044099</v>
      </c>
      <c r="BI33" s="104">
        <f ca="1">'Assumption Table'!$C$30*BI34*BI$14</f>
        <v>3281726.3702867324</v>
      </c>
      <c r="BJ33" s="19" t="str">
        <f>A33</f>
        <v>item 3</v>
      </c>
      <c r="BK33" s="103">
        <f ca="1">SUMIFS($B33:$BI33,$B$4:$BI$4,"&lt;=12")</f>
        <v>2588651.7076849001</v>
      </c>
      <c r="BL33" s="103">
        <f ca="1">SUMIFS($B33:$BI33,$B$4:$BI$4,"&lt;=24",$B$4:$BI$4,"&gt;12")</f>
        <v>11734036.274214623</v>
      </c>
      <c r="BM33" s="103">
        <f ca="1">SUMIFS($B33:$BI33,$B$4:$BI$4,"&lt;=36",$B$4:$BI$4,"&gt;24")</f>
        <v>16511338.156596716</v>
      </c>
      <c r="BN33" s="103">
        <f ca="1">SUMIFS($B33:$BI33,$B$4:$BI$4,"&lt;=48",$B$4:$BI$4,"&gt;36")</f>
        <v>20681451.221723232</v>
      </c>
      <c r="BO33" s="103">
        <f ca="1">SUMIFS($B33:$BI33,$B$4:$BI$4,"&lt;=60",$B$4:$BI$4,"&gt;48")</f>
        <v>30925516.263779026</v>
      </c>
    </row>
    <row r="34" spans="1:67" ht="13.4" customHeight="1">
      <c r="A34" s="98" t="s">
        <v>222</v>
      </c>
      <c r="B34" s="105">
        <f ca="1">MAX(0,MIN(1,NORMINV(RAND(),'Assumption Table'!$D$30,'Assumption Table'!$E$30)))</f>
        <v>0.25211040942031088</v>
      </c>
      <c r="C34" s="105">
        <f ca="1">MAX(0,MIN(1,NORMINV(RAND(),'Assumption Table'!$D$30,'Assumption Table'!$E$30)))</f>
        <v>0</v>
      </c>
      <c r="D34" s="105">
        <f ca="1">MAX(0,MIN(1,NORMINV(RAND(),'Assumption Table'!$D$30,'Assumption Table'!$E$30)))</f>
        <v>0.28468644630140144</v>
      </c>
      <c r="E34" s="105">
        <f ca="1">MAX(0,MIN(1,NORMINV(RAND(),'Assumption Table'!$D$30,'Assumption Table'!$E$30)))</f>
        <v>0.20408251342522787</v>
      </c>
      <c r="F34" s="105">
        <f ca="1">MAX(0,MIN(1,NORMINV(RAND(),'Assumption Table'!$D$30,'Assumption Table'!$E$30)))</f>
        <v>9.4923473515984833E-2</v>
      </c>
      <c r="G34" s="105">
        <f ca="1">MAX(0,MIN(1,NORMINV(RAND(),'Assumption Table'!$D$30,'Assumption Table'!$E$30)))</f>
        <v>0.17048976719261799</v>
      </c>
      <c r="H34" s="105">
        <f ca="1">MAX(0,MIN(1,NORMINV(RAND(),'Assumption Table'!$D$30,'Assumption Table'!$E$30)))</f>
        <v>0.27302928023614148</v>
      </c>
      <c r="I34" s="105">
        <f ca="1">MAX(0,MIN(1,NORMINV(RAND(),'Assumption Table'!$D$30,'Assumption Table'!$E$30)))</f>
        <v>0.27908556886130903</v>
      </c>
      <c r="J34" s="105">
        <f ca="1">MAX(0,MIN(1,NORMINV(RAND(),'Assumption Table'!$D$30,'Assumption Table'!$E$30)))</f>
        <v>0.12309780798222382</v>
      </c>
      <c r="K34" s="105">
        <f ca="1">MAX(0,MIN(1,NORMINV(RAND(),'Assumption Table'!$D$30,'Assumption Table'!$E$30)))</f>
        <v>0.24549976040850124</v>
      </c>
      <c r="L34" s="105">
        <f ca="1">MAX(0,MIN(1,NORMINV(RAND(),'Assumption Table'!$D$30,'Assumption Table'!$E$30)))</f>
        <v>0.26293764644273881</v>
      </c>
      <c r="M34" s="105">
        <f ca="1">MAX(0,MIN(1,NORMINV(RAND(),'Assumption Table'!$D$30,'Assumption Table'!$E$30)))</f>
        <v>0.17220583531089237</v>
      </c>
      <c r="N34" s="105">
        <f ca="1">MAX(0,MIN(1,NORMINV(RAND(),'Assumption Table'!$D$30,'Assumption Table'!$E$30)))</f>
        <v>0.16474831149099298</v>
      </c>
      <c r="O34" s="105">
        <f ca="1">MAX(0,MIN(1,NORMINV(RAND(),'Assumption Table'!$D$30,'Assumption Table'!$E$30)))</f>
        <v>0.4210612171441197</v>
      </c>
      <c r="P34" s="105">
        <f ca="1">MAX(0,MIN(1,NORMINV(RAND(),'Assumption Table'!$D$30,'Assumption Table'!$E$30)))</f>
        <v>0.35838058752676605</v>
      </c>
      <c r="Q34" s="105">
        <f ca="1">MAX(0,MIN(1,NORMINV(RAND(),'Assumption Table'!$D$30,'Assumption Table'!$E$30)))</f>
        <v>8.1216959911725062E-2</v>
      </c>
      <c r="R34" s="105">
        <f ca="1">MAX(0,MIN(1,NORMINV(RAND(),'Assumption Table'!$D$30,'Assumption Table'!$E$30)))</f>
        <v>0.304046747276221</v>
      </c>
      <c r="S34" s="105">
        <f ca="1">MAX(0,MIN(1,NORMINV(RAND(),'Assumption Table'!$D$30,'Assumption Table'!$E$30)))</f>
        <v>0.4936897539966516</v>
      </c>
      <c r="T34" s="105">
        <f ca="1">MAX(0,MIN(1,NORMINV(RAND(),'Assumption Table'!$D$30,'Assumption Table'!$E$30)))</f>
        <v>0.39198503736651746</v>
      </c>
      <c r="U34" s="105">
        <f ca="1">MAX(0,MIN(1,NORMINV(RAND(),'Assumption Table'!$D$30,'Assumption Table'!$E$30)))</f>
        <v>0.19031144630258628</v>
      </c>
      <c r="V34" s="105">
        <f ca="1">MAX(0,MIN(1,NORMINV(RAND(),'Assumption Table'!$D$30,'Assumption Table'!$E$30)))</f>
        <v>0.19862360050330927</v>
      </c>
      <c r="W34" s="105">
        <f ca="1">MAX(0,MIN(1,NORMINV(RAND(),'Assumption Table'!$D$30,'Assumption Table'!$E$30)))</f>
        <v>0.3658966938768915</v>
      </c>
      <c r="X34" s="105">
        <f ca="1">MAX(0,MIN(1,NORMINV(RAND(),'Assumption Table'!$D$30,'Assumption Table'!$E$30)))</f>
        <v>0.2270294793973989</v>
      </c>
      <c r="Y34" s="105">
        <f ca="1">MAX(0,MIN(1,NORMINV(RAND(),'Assumption Table'!$D$30,'Assumption Table'!$E$30)))</f>
        <v>0.27789674685649152</v>
      </c>
      <c r="Z34" s="105">
        <f ca="1">MAX(0,MIN(1,NORMINV(RAND(),'Assumption Table'!$D$30,'Assumption Table'!$E$30)))</f>
        <v>0.22317213477822681</v>
      </c>
      <c r="AA34" s="105">
        <f ca="1">MAX(0,MIN(1,NORMINV(RAND(),'Assumption Table'!$D$30,'Assumption Table'!$E$30)))</f>
        <v>8.4695266039105918E-2</v>
      </c>
      <c r="AB34" s="105">
        <f ca="1">MAX(0,MIN(1,NORMINV(RAND(),'Assumption Table'!$D$30,'Assumption Table'!$E$30)))</f>
        <v>0.28960959202897013</v>
      </c>
      <c r="AC34" s="105">
        <f ca="1">MAX(0,MIN(1,NORMINV(RAND(),'Assumption Table'!$D$30,'Assumption Table'!$E$30)))</f>
        <v>0.10201630404585207</v>
      </c>
      <c r="AD34" s="105">
        <f ca="1">MAX(0,MIN(1,NORMINV(RAND(),'Assumption Table'!$D$30,'Assumption Table'!$E$30)))</f>
        <v>0.15664227234683817</v>
      </c>
      <c r="AE34" s="105">
        <f ca="1">MAX(0,MIN(1,NORMINV(RAND(),'Assumption Table'!$D$30,'Assumption Table'!$E$30)))</f>
        <v>0.15211307010181599</v>
      </c>
      <c r="AF34" s="105">
        <f ca="1">MAX(0,MIN(1,NORMINV(RAND(),'Assumption Table'!$D$30,'Assumption Table'!$E$30)))</f>
        <v>0.12162078461485271</v>
      </c>
      <c r="AG34" s="105">
        <f ca="1">MAX(0,MIN(1,NORMINV(RAND(),'Assumption Table'!$D$30,'Assumption Table'!$E$30)))</f>
        <v>0.34991058684571147</v>
      </c>
      <c r="AH34" s="105">
        <f ca="1">MAX(0,MIN(1,NORMINV(RAND(),'Assumption Table'!$D$30,'Assumption Table'!$E$30)))</f>
        <v>0.1431953351902619</v>
      </c>
      <c r="AI34" s="105">
        <f ca="1">MAX(0,MIN(1,NORMINV(RAND(),'Assumption Table'!$D$30,'Assumption Table'!$E$30)))</f>
        <v>0.2805502416439874</v>
      </c>
      <c r="AJ34" s="105">
        <f ca="1">MAX(0,MIN(1,NORMINV(RAND(),'Assumption Table'!$D$30,'Assumption Table'!$E$30)))</f>
        <v>0.39635780450715041</v>
      </c>
      <c r="AK34" s="105">
        <f ca="1">MAX(0,MIN(1,NORMINV(RAND(),'Assumption Table'!$D$30,'Assumption Table'!$E$30)))</f>
        <v>0.3544352734780184</v>
      </c>
      <c r="AL34" s="105">
        <f ca="1">MAX(0,MIN(1,NORMINV(RAND(),'Assumption Table'!$D$30,'Assumption Table'!$E$30)))</f>
        <v>0.21473403328514851</v>
      </c>
      <c r="AM34" s="105">
        <f ca="1">MAX(0,MIN(1,NORMINV(RAND(),'Assumption Table'!$D$30,'Assumption Table'!$E$30)))</f>
        <v>0.14315662521499822</v>
      </c>
      <c r="AN34" s="105">
        <f ca="1">MAX(0,MIN(1,NORMINV(RAND(),'Assumption Table'!$D$30,'Assumption Table'!$E$30)))</f>
        <v>0.12539127075001544</v>
      </c>
      <c r="AO34" s="105">
        <f ca="1">MAX(0,MIN(1,NORMINV(RAND(),'Assumption Table'!$D$30,'Assumption Table'!$E$30)))</f>
        <v>8.2718786882245432E-3</v>
      </c>
      <c r="AP34" s="105">
        <f ca="1">MAX(0,MIN(1,NORMINV(RAND(),'Assumption Table'!$D$30,'Assumption Table'!$E$30)))</f>
        <v>0.12920599837603181</v>
      </c>
      <c r="AQ34" s="105">
        <f ca="1">MAX(0,MIN(1,NORMINV(RAND(),'Assumption Table'!$D$30,'Assumption Table'!$E$30)))</f>
        <v>0.13096994837946271</v>
      </c>
      <c r="AR34" s="105">
        <f ca="1">MAX(0,MIN(1,NORMINV(RAND(),'Assumption Table'!$D$30,'Assumption Table'!$E$30)))</f>
        <v>8.6000006697593515E-2</v>
      </c>
      <c r="AS34" s="105">
        <f ca="1">MAX(0,MIN(1,NORMINV(RAND(),'Assumption Table'!$D$30,'Assumption Table'!$E$30)))</f>
        <v>0.30686905218200766</v>
      </c>
      <c r="AT34" s="105">
        <f ca="1">MAX(0,MIN(1,NORMINV(RAND(),'Assumption Table'!$D$30,'Assumption Table'!$E$30)))</f>
        <v>0.29325390245022742</v>
      </c>
      <c r="AU34" s="105">
        <f ca="1">MAX(0,MIN(1,NORMINV(RAND(),'Assumption Table'!$D$30,'Assumption Table'!$E$30)))</f>
        <v>9.777881123493054E-2</v>
      </c>
      <c r="AV34" s="105">
        <f ca="1">MAX(0,MIN(1,NORMINV(RAND(),'Assumption Table'!$D$30,'Assumption Table'!$E$30)))</f>
        <v>0.20695755030511057</v>
      </c>
      <c r="AW34" s="105">
        <f ca="1">MAX(0,MIN(1,NORMINV(RAND(),'Assumption Table'!$D$30,'Assumption Table'!$E$30)))</f>
        <v>0.31400008495370052</v>
      </c>
      <c r="AX34" s="105">
        <f ca="1">MAX(0,MIN(1,NORMINV(RAND(),'Assumption Table'!$D$30,'Assumption Table'!$E$30)))</f>
        <v>0.19351957822831362</v>
      </c>
      <c r="AY34" s="105">
        <f ca="1">MAX(0,MIN(1,NORMINV(RAND(),'Assumption Table'!$D$30,'Assumption Table'!$E$30)))</f>
        <v>0.14673143802585242</v>
      </c>
      <c r="AZ34" s="105">
        <f ca="1">MAX(0,MIN(1,NORMINV(RAND(),'Assumption Table'!$D$30,'Assumption Table'!$E$30)))</f>
        <v>0.16184936928084143</v>
      </c>
      <c r="BA34" s="105">
        <f ca="1">MAX(0,MIN(1,NORMINV(RAND(),'Assumption Table'!$D$30,'Assumption Table'!$E$30)))</f>
        <v>7.6725863572632322E-2</v>
      </c>
      <c r="BB34" s="105">
        <f ca="1">MAX(0,MIN(1,NORMINV(RAND(),'Assumption Table'!$D$30,'Assumption Table'!$E$30)))</f>
        <v>0.18585117711826585</v>
      </c>
      <c r="BC34" s="105">
        <f ca="1">MAX(0,MIN(1,NORMINV(RAND(),'Assumption Table'!$D$30,'Assumption Table'!$E$30)))</f>
        <v>0.26548728854929315</v>
      </c>
      <c r="BD34" s="105">
        <f ca="1">MAX(0,MIN(1,NORMINV(RAND(),'Assumption Table'!$D$30,'Assumption Table'!$E$30)))</f>
        <v>8.2478662125109417E-2</v>
      </c>
      <c r="BE34" s="105">
        <f ca="1">MAX(0,MIN(1,NORMINV(RAND(),'Assumption Table'!$D$30,'Assumption Table'!$E$30)))</f>
        <v>0.12454205405082908</v>
      </c>
      <c r="BF34" s="105">
        <f ca="1">MAX(0,MIN(1,NORMINV(RAND(),'Assumption Table'!$D$30,'Assumption Table'!$E$30)))</f>
        <v>0.15980249104820238</v>
      </c>
      <c r="BG34" s="105">
        <f ca="1">MAX(0,MIN(1,NORMINV(RAND(),'Assumption Table'!$D$30,'Assumption Table'!$E$30)))</f>
        <v>0.33853897879018552</v>
      </c>
      <c r="BH34" s="105">
        <f ca="1">MAX(0,MIN(1,NORMINV(RAND(),'Assumption Table'!$D$30,'Assumption Table'!$E$30)))</f>
        <v>0.17063366419902762</v>
      </c>
      <c r="BI34" s="106">
        <f ca="1">MAX(0,MIN(1,NORMINV(RAND(),'Assumption Table'!$D$30,'Assumption Table'!$E$30)))</f>
        <v>0.16876470958113673</v>
      </c>
      <c r="BJ34" s="10"/>
      <c r="BK34" s="105"/>
      <c r="BL34" s="105"/>
      <c r="BM34" s="105"/>
      <c r="BN34" s="105"/>
      <c r="BO34" s="105"/>
    </row>
    <row r="35" spans="1:67" ht="13.4" customHeight="1">
      <c r="A35" s="6" t="s">
        <v>228</v>
      </c>
      <c r="B35" s="103">
        <f ca="1">'Assumption Table'!$C$31*B36*B$14</f>
        <v>993.92139459363227</v>
      </c>
      <c r="C35" s="103">
        <f ca="1">'Assumption Table'!$C$31*C36*C$14</f>
        <v>69548.383241639574</v>
      </c>
      <c r="D35" s="103">
        <f ca="1">'Assumption Table'!$C$31*D36*D$14</f>
        <v>193458.29941054998</v>
      </c>
      <c r="E35" s="103">
        <f ca="1">'Assumption Table'!$C$31*E36*E$14</f>
        <v>61041.593578190281</v>
      </c>
      <c r="F35" s="103">
        <f ca="1">'Assumption Table'!$C$31*F36*F$14</f>
        <v>148924.7547382281</v>
      </c>
      <c r="G35" s="103">
        <f ca="1">'Assumption Table'!$C$31*G36*G$14</f>
        <v>247973.60552871437</v>
      </c>
      <c r="H35" s="103">
        <f ca="1">'Assumption Table'!$C$31*H36*H$14</f>
        <v>217977.47155244107</v>
      </c>
      <c r="I35" s="103">
        <f ca="1">'Assumption Table'!$C$31*I36*I$14</f>
        <v>307276.02539068903</v>
      </c>
      <c r="J35" s="103">
        <f ca="1">'Assumption Table'!$C$31*J36*J$14</f>
        <v>585806.26484826556</v>
      </c>
      <c r="K35" s="103">
        <f ca="1">'Assumption Table'!$C$31*K36*K$14</f>
        <v>90686.941599868907</v>
      </c>
      <c r="L35" s="103">
        <f ca="1">'Assumption Table'!$C$31*L36*L$14</f>
        <v>549951.65814589977</v>
      </c>
      <c r="M35" s="103">
        <f ca="1">'Assumption Table'!$C$31*M36*M$14</f>
        <v>65291.645703817245</v>
      </c>
      <c r="N35" s="103">
        <f ca="1">'Assumption Table'!$C$31*N36*N$14</f>
        <v>761340.6144026845</v>
      </c>
      <c r="O35" s="103">
        <f ca="1">'Assumption Table'!$C$31*O36*O$14</f>
        <v>610060.28772519599</v>
      </c>
      <c r="P35" s="103">
        <f ca="1">'Assumption Table'!$C$31*P36*P$14</f>
        <v>526499.06056592951</v>
      </c>
      <c r="Q35" s="103">
        <f ca="1">'Assumption Table'!$C$31*Q36*Q$14</f>
        <v>752715.80702136294</v>
      </c>
      <c r="R35" s="103">
        <f ca="1">'Assumption Table'!$C$31*R36*R$14</f>
        <v>678034.54498577723</v>
      </c>
      <c r="S35" s="103">
        <f ca="1">'Assumption Table'!$C$31*S36*S$14</f>
        <v>150863.3209999268</v>
      </c>
      <c r="T35" s="103">
        <f ca="1">'Assumption Table'!$C$31*T36*T$14</f>
        <v>202173.22323709613</v>
      </c>
      <c r="U35" s="103">
        <f ca="1">'Assumption Table'!$C$31*U36*U$14</f>
        <v>0</v>
      </c>
      <c r="V35" s="103">
        <f ca="1">'Assumption Table'!$C$31*V36*V$14</f>
        <v>1756115.5953428801</v>
      </c>
      <c r="W35" s="103">
        <f ca="1">'Assumption Table'!$C$31*W36*W$14</f>
        <v>1799710.1078384256</v>
      </c>
      <c r="X35" s="103">
        <f ca="1">'Assumption Table'!$C$31*X36*X$14</f>
        <v>168897.44410550015</v>
      </c>
      <c r="Y35" s="103">
        <f ca="1">'Assumption Table'!$C$31*Y36*Y$14</f>
        <v>0</v>
      </c>
      <c r="Z35" s="103">
        <f ca="1">'Assumption Table'!$C$31*Z36*Z$14</f>
        <v>2321001.6155811003</v>
      </c>
      <c r="AA35" s="103">
        <f ca="1">'Assumption Table'!$C$31*AA36*AA$14</f>
        <v>1739935.9817908842</v>
      </c>
      <c r="AB35" s="103">
        <f ca="1">'Assumption Table'!$C$31*AB36*AB$14</f>
        <v>1441428.8604695993</v>
      </c>
      <c r="AC35" s="103">
        <f ca="1">'Assumption Table'!$C$31*AC36*AC$14</f>
        <v>2111309.7010161579</v>
      </c>
      <c r="AD35" s="103">
        <f ca="1">'Assumption Table'!$C$31*AD36*AD$14</f>
        <v>498504.90995104273</v>
      </c>
      <c r="AE35" s="103">
        <f ca="1">'Assumption Table'!$C$31*AE36*AE$14</f>
        <v>886737.86323041341</v>
      </c>
      <c r="AF35" s="103">
        <f ca="1">'Assumption Table'!$C$31*AF36*AF$14</f>
        <v>1394008.1449963965</v>
      </c>
      <c r="AG35" s="103">
        <f ca="1">'Assumption Table'!$C$31*AG36*AG$14</f>
        <v>0</v>
      </c>
      <c r="AH35" s="103">
        <f ca="1">'Assumption Table'!$C$31*AH36*AH$14</f>
        <v>0</v>
      </c>
      <c r="AI35" s="103">
        <f ca="1">'Assumption Table'!$C$31*AI36*AI$14</f>
        <v>0</v>
      </c>
      <c r="AJ35" s="103">
        <f ca="1">'Assumption Table'!$C$31*AJ36*AJ$14</f>
        <v>3473447.6679328107</v>
      </c>
      <c r="AK35" s="103">
        <f ca="1">'Assumption Table'!$C$31*AK36*AK$14</f>
        <v>1130070.9428921302</v>
      </c>
      <c r="AL35" s="103">
        <f ca="1">'Assumption Table'!$C$31*AL36*AL$14</f>
        <v>280353.211326883</v>
      </c>
      <c r="AM35" s="103">
        <f ca="1">'Assumption Table'!$C$31*AM36*AM$14</f>
        <v>1385498.7248490436</v>
      </c>
      <c r="AN35" s="103">
        <f ca="1">'Assumption Table'!$C$31*AN36*AN$14</f>
        <v>2359488.0008811415</v>
      </c>
      <c r="AO35" s="103">
        <f ca="1">'Assumption Table'!$C$31*AO36*AO$14</f>
        <v>0</v>
      </c>
      <c r="AP35" s="103">
        <f ca="1">'Assumption Table'!$C$31*AP36*AP$14</f>
        <v>666183.0719445307</v>
      </c>
      <c r="AQ35" s="103">
        <f ca="1">'Assumption Table'!$C$31*AQ36*AQ$14</f>
        <v>1136081.292233147</v>
      </c>
      <c r="AR35" s="103">
        <f ca="1">'Assumption Table'!$C$31*AR36*AR$14</f>
        <v>0</v>
      </c>
      <c r="AS35" s="103">
        <f ca="1">'Assumption Table'!$C$31*AS36*AS$14</f>
        <v>1922187.8132022766</v>
      </c>
      <c r="AT35" s="103">
        <f ca="1">'Assumption Table'!$C$31*AT36*AT$14</f>
        <v>1473943.9035299846</v>
      </c>
      <c r="AU35" s="103">
        <f ca="1">'Assumption Table'!$C$31*AU36*AU$14</f>
        <v>3075455.55685833</v>
      </c>
      <c r="AV35" s="103">
        <f ca="1">'Assumption Table'!$C$31*AV36*AV$14</f>
        <v>454769.17618930462</v>
      </c>
      <c r="AW35" s="103">
        <f ca="1">'Assumption Table'!$C$31*AW36*AW$14</f>
        <v>4555272.042428649</v>
      </c>
      <c r="AX35" s="103">
        <f ca="1">'Assumption Table'!$C$31*AX36*AX$14</f>
        <v>1670272.9836763255</v>
      </c>
      <c r="AY35" s="103">
        <f ca="1">'Assumption Table'!$C$31*AY36*AY$14</f>
        <v>0</v>
      </c>
      <c r="AZ35" s="103">
        <f ca="1">'Assumption Table'!$C$31*AZ36*AZ$14</f>
        <v>2133204.5378030399</v>
      </c>
      <c r="BA35" s="103">
        <f ca="1">'Assumption Table'!$C$31*BA36*BA$14</f>
        <v>1430531.4814478315</v>
      </c>
      <c r="BB35" s="103">
        <f ca="1">'Assumption Table'!$C$31*BB36*BB$14</f>
        <v>551328.67778571381</v>
      </c>
      <c r="BC35" s="103">
        <f ca="1">'Assumption Table'!$C$31*BC36*BC$14</f>
        <v>4329669.9678128297</v>
      </c>
      <c r="BD35" s="103">
        <f ca="1">'Assumption Table'!$C$31*BD36*BD$14</f>
        <v>3585083.998409098</v>
      </c>
      <c r="BE35" s="103">
        <f ca="1">'Assumption Table'!$C$31*BE36*BE$14</f>
        <v>8062031.5412927549</v>
      </c>
      <c r="BF35" s="103">
        <f ca="1">'Assumption Table'!$C$31*BF36*BF$14</f>
        <v>6447415.4552240139</v>
      </c>
      <c r="BG35" s="103">
        <f ca="1">'Assumption Table'!$C$31*BG36*BG$14</f>
        <v>1960366.8533761229</v>
      </c>
      <c r="BH35" s="103">
        <f ca="1">'Assumption Table'!$C$31*BH36*BH$14</f>
        <v>2092543.188299363</v>
      </c>
      <c r="BI35" s="104">
        <f ca="1">'Assumption Table'!$C$31*BI36*BI$14</f>
        <v>5179589.5275108824</v>
      </c>
      <c r="BJ35" s="19" t="str">
        <f>A35</f>
        <v>item 4</v>
      </c>
      <c r="BK35" s="103">
        <f ca="1">SUMIFS($B35:$BI35,$B$4:$BI$4,"&lt;=12")</f>
        <v>2538930.5651328978</v>
      </c>
      <c r="BL35" s="103">
        <f ca="1">SUMIFS($B35:$BI35,$B$4:$BI$4,"&lt;=24",$B$4:$BI$4,"&gt;12")</f>
        <v>7406410.0062247794</v>
      </c>
      <c r="BM35" s="103">
        <f ca="1">SUMIFS($B35:$BI35,$B$4:$BI$4,"&lt;=36",$B$4:$BI$4,"&gt;24")</f>
        <v>14996445.687860535</v>
      </c>
      <c r="BN35" s="103">
        <f ca="1">SUMIFS($B35:$BI35,$B$4:$BI$4,"&lt;=48",$B$4:$BI$4,"&gt;36")</f>
        <v>17309232.793443289</v>
      </c>
      <c r="BO35" s="103">
        <f ca="1">SUMIFS($B35:$BI35,$B$4:$BI$4,"&lt;=60",$B$4:$BI$4,"&gt;48")</f>
        <v>37442038.212637976</v>
      </c>
    </row>
    <row r="36" spans="1:67" ht="13.4" customHeight="1">
      <c r="A36" s="98" t="s">
        <v>222</v>
      </c>
      <c r="B36" s="105">
        <f ca="1">MAX(0,MIN(1,NORMINV(RAND(),'Assumption Table'!$D$31,'Assumption Table'!$E$31)))</f>
        <v>4.318144678383054E-3</v>
      </c>
      <c r="C36" s="105">
        <f ca="1">MAX(0,MIN(1,NORMINV(RAND(),'Assumption Table'!$D$31,'Assumption Table'!$E$31)))</f>
        <v>0.13688993913430594</v>
      </c>
      <c r="D36" s="105">
        <f ca="1">MAX(0,MIN(1,NORMINV(RAND(),'Assumption Table'!$D$31,'Assumption Table'!$E$31)))</f>
        <v>0.24469919709289586</v>
      </c>
      <c r="E36" s="105">
        <f ca="1">MAX(0,MIN(1,NORMINV(RAND(),'Assumption Table'!$D$31,'Assumption Table'!$E$31)))</f>
        <v>8.0118018186328827E-2</v>
      </c>
      <c r="F36" s="105">
        <f ca="1">MAX(0,MIN(1,NORMINV(RAND(),'Assumption Table'!$D$31,'Assumption Table'!$E$31)))</f>
        <v>0.11880789919201011</v>
      </c>
      <c r="G36" s="105">
        <f ca="1">MAX(0,MIN(1,NORMINV(RAND(),'Assumption Table'!$D$31,'Assumption Table'!$E$31)))</f>
        <v>0.17250929527795794</v>
      </c>
      <c r="H36" s="105">
        <f ca="1">MAX(0,MIN(1,NORMINV(RAND(),'Assumption Table'!$D$31,'Assumption Table'!$E$31)))</f>
        <v>0.13434509810938611</v>
      </c>
      <c r="I36" s="105">
        <f ca="1">MAX(0,MIN(1,NORMINV(RAND(),'Assumption Table'!$D$31,'Assumption Table'!$E$31)))</f>
        <v>0.15457651161952152</v>
      </c>
      <c r="J36" s="105">
        <f ca="1">MAX(0,MIN(1,NORMINV(RAND(),'Assumption Table'!$D$31,'Assumption Table'!$E$31)))</f>
        <v>0.2587511971469022</v>
      </c>
      <c r="K36" s="105">
        <f ca="1">MAX(0,MIN(1,NORMINV(RAND(),'Assumption Table'!$D$31,'Assumption Table'!$E$31)))</f>
        <v>3.3794211242768935E-2</v>
      </c>
      <c r="L36" s="105">
        <f ca="1">MAX(0,MIN(1,NORMINV(RAND(),'Assumption Table'!$D$31,'Assumption Table'!$E$31)))</f>
        <v>0.19281875157420539</v>
      </c>
      <c r="M36" s="105">
        <f ca="1">MAX(0,MIN(1,NORMINV(RAND(),'Assumption Table'!$D$31,'Assumption Table'!$E$31)))</f>
        <v>2.8409613283557053E-2</v>
      </c>
      <c r="N36" s="105">
        <f ca="1">MAX(0,MIN(1,NORMINV(RAND(),'Assumption Table'!$D$31,'Assumption Table'!$E$31)))</f>
        <v>0.18562390881283541</v>
      </c>
      <c r="O36" s="105">
        <f ca="1">MAX(0,MIN(1,NORMINV(RAND(),'Assumption Table'!$D$31,'Assumption Table'!$E$31)))</f>
        <v>0.17407408613842795</v>
      </c>
      <c r="P36" s="105">
        <f ca="1">MAX(0,MIN(1,NORMINV(RAND(),'Assumption Table'!$D$31,'Assumption Table'!$E$31)))</f>
        <v>0.10781157116729244</v>
      </c>
      <c r="Q36" s="105">
        <f ca="1">MAX(0,MIN(1,NORMINV(RAND(),'Assumption Table'!$D$31,'Assumption Table'!$E$31)))</f>
        <v>0.14592803975955645</v>
      </c>
      <c r="R36" s="105">
        <f ca="1">MAX(0,MIN(1,NORMINV(RAND(),'Assumption Table'!$D$31,'Assumption Table'!$E$31)))</f>
        <v>0.1484571493310099</v>
      </c>
      <c r="S36" s="105">
        <f ca="1">MAX(0,MIN(1,NORMINV(RAND(),'Assumption Table'!$D$31,'Assumption Table'!$E$31)))</f>
        <v>3.4986188899500656E-2</v>
      </c>
      <c r="T36" s="105">
        <f ca="1">MAX(0,MIN(1,NORMINV(RAND(),'Assumption Table'!$D$31,'Assumption Table'!$E$31)))</f>
        <v>4.7005596024313971E-2</v>
      </c>
      <c r="U36" s="105">
        <f ca="1">MAX(0,MIN(1,NORMINV(RAND(),'Assumption Table'!$D$31,'Assumption Table'!$E$31)))</f>
        <v>0</v>
      </c>
      <c r="V36" s="105">
        <f ca="1">MAX(0,MIN(1,NORMINV(RAND(),'Assumption Table'!$D$31,'Assumption Table'!$E$31)))</f>
        <v>0.30266086437504847</v>
      </c>
      <c r="W36" s="105">
        <f ca="1">MAX(0,MIN(1,NORMINV(RAND(),'Assumption Table'!$D$31,'Assumption Table'!$E$31)))</f>
        <v>0.3034595526499545</v>
      </c>
      <c r="X36" s="105">
        <f ca="1">MAX(0,MIN(1,NORMINV(RAND(),'Assumption Table'!$D$31,'Assumption Table'!$E$31)))</f>
        <v>2.07412625956232E-2</v>
      </c>
      <c r="Y36" s="105">
        <f ca="1">MAX(0,MIN(1,NORMINV(RAND(),'Assumption Table'!$D$31,'Assumption Table'!$E$31)))</f>
        <v>0</v>
      </c>
      <c r="Z36" s="105">
        <f ca="1">MAX(0,MIN(1,NORMINV(RAND(),'Assumption Table'!$D$31,'Assumption Table'!$E$31)))</f>
        <v>0.2800951041062093</v>
      </c>
      <c r="AA36" s="105">
        <f ca="1">MAX(0,MIN(1,NORMINV(RAND(),'Assumption Table'!$D$31,'Assumption Table'!$E$31)))</f>
        <v>0.21393484713014874</v>
      </c>
      <c r="AB36" s="105">
        <f ca="1">MAX(0,MIN(1,NORMINV(RAND(),'Assumption Table'!$D$31,'Assumption Table'!$E$31)))</f>
        <v>0.24315218824880461</v>
      </c>
      <c r="AC36" s="105">
        <f ca="1">MAX(0,MIN(1,NORMINV(RAND(),'Assumption Table'!$D$31,'Assumption Table'!$E$31)))</f>
        <v>0.18073272486913106</v>
      </c>
      <c r="AD36" s="105">
        <f ca="1">MAX(0,MIN(1,NORMINV(RAND(),'Assumption Table'!$D$31,'Assumption Table'!$E$31)))</f>
        <v>5.2773452968084715E-2</v>
      </c>
      <c r="AE36" s="105">
        <f ca="1">MAX(0,MIN(1,NORMINV(RAND(),'Assumption Table'!$D$31,'Assumption Table'!$E$31)))</f>
        <v>6.5730581577121527E-2</v>
      </c>
      <c r="AF36" s="105">
        <f ca="1">MAX(0,MIN(1,NORMINV(RAND(),'Assumption Table'!$D$31,'Assumption Table'!$E$31)))</f>
        <v>0.16848725468825365</v>
      </c>
      <c r="AG36" s="105">
        <f ca="1">MAX(0,MIN(1,NORMINV(RAND(),'Assumption Table'!$D$31,'Assumption Table'!$E$31)))</f>
        <v>0</v>
      </c>
      <c r="AH36" s="105">
        <f ca="1">MAX(0,MIN(1,NORMINV(RAND(),'Assumption Table'!$D$31,'Assumption Table'!$E$31)))</f>
        <v>0</v>
      </c>
      <c r="AI36" s="105">
        <f ca="1">MAX(0,MIN(1,NORMINV(RAND(),'Assumption Table'!$D$31,'Assumption Table'!$E$31)))</f>
        <v>0</v>
      </c>
      <c r="AJ36" s="105">
        <f ca="1">MAX(0,MIN(1,NORMINV(RAND(),'Assumption Table'!$D$31,'Assumption Table'!$E$31)))</f>
        <v>0.24065634046514908</v>
      </c>
      <c r="AK36" s="105">
        <f ca="1">MAX(0,MIN(1,NORMINV(RAND(),'Assumption Table'!$D$31,'Assumption Table'!$E$31)))</f>
        <v>0.1254911096248785</v>
      </c>
      <c r="AL36" s="105">
        <f ca="1">MAX(0,MIN(1,NORMINV(RAND(),'Assumption Table'!$D$31,'Assumption Table'!$E$31)))</f>
        <v>1.7469004130947693E-2</v>
      </c>
      <c r="AM36" s="105">
        <f ca="1">MAX(0,MIN(1,NORMINV(RAND(),'Assumption Table'!$D$31,'Assumption Table'!$E$31)))</f>
        <v>8.2016400890072505E-2</v>
      </c>
      <c r="AN36" s="105">
        <f ca="1">MAX(0,MIN(1,NORMINV(RAND(),'Assumption Table'!$D$31,'Assumption Table'!$E$31)))</f>
        <v>0.13221183467009628</v>
      </c>
      <c r="AO36" s="105">
        <f ca="1">MAX(0,MIN(1,NORMINV(RAND(),'Assumption Table'!$D$31,'Assumption Table'!$E$31)))</f>
        <v>0</v>
      </c>
      <c r="AP36" s="105">
        <f ca="1">MAX(0,MIN(1,NORMINV(RAND(),'Assumption Table'!$D$31,'Assumption Table'!$E$31)))</f>
        <v>7.2911731652518269E-2</v>
      </c>
      <c r="AQ36" s="105">
        <f ca="1">MAX(0,MIN(1,NORMINV(RAND(),'Assumption Table'!$D$31,'Assumption Table'!$E$31)))</f>
        <v>0.10011841188658874</v>
      </c>
      <c r="AR36" s="105">
        <f ca="1">MAX(0,MIN(1,NORMINV(RAND(),'Assumption Table'!$D$31,'Assumption Table'!$E$31)))</f>
        <v>0</v>
      </c>
      <c r="AS36" s="105">
        <f ca="1">MAX(0,MIN(1,NORMINV(RAND(),'Assumption Table'!$D$31,'Assumption Table'!$E$31)))</f>
        <v>0.13086102764802693</v>
      </c>
      <c r="AT36" s="105">
        <f ca="1">MAX(0,MIN(1,NORMINV(RAND(),'Assumption Table'!$D$31,'Assumption Table'!$E$31)))</f>
        <v>9.9381534781735115E-2</v>
      </c>
      <c r="AU36" s="105">
        <f ca="1">MAX(0,MIN(1,NORMINV(RAND(),'Assumption Table'!$D$31,'Assumption Table'!$E$31)))</f>
        <v>0.18857295703966181</v>
      </c>
      <c r="AV36" s="105">
        <f ca="1">MAX(0,MIN(1,NORMINV(RAND(),'Assumption Table'!$D$31,'Assumption Table'!$E$31)))</f>
        <v>2.1930130324355285E-2</v>
      </c>
      <c r="AW36" s="105">
        <f ca="1">MAX(0,MIN(1,NORMINV(RAND(),'Assumption Table'!$D$31,'Assumption Table'!$E$31)))</f>
        <v>0.34035747560382423</v>
      </c>
      <c r="AX36" s="105">
        <f ca="1">MAX(0,MIN(1,NORMINV(RAND(),'Assumption Table'!$D$31,'Assumption Table'!$E$31)))</f>
        <v>9.935463027130087E-2</v>
      </c>
      <c r="AY36" s="105">
        <f ca="1">MAX(0,MIN(1,NORMINV(RAND(),'Assumption Table'!$D$31,'Assumption Table'!$E$31)))</f>
        <v>0</v>
      </c>
      <c r="AZ36" s="105">
        <f ca="1">MAX(0,MIN(1,NORMINV(RAND(),'Assumption Table'!$D$31,'Assumption Table'!$E$31)))</f>
        <v>0.11115933986688838</v>
      </c>
      <c r="BA36" s="105">
        <f ca="1">MAX(0,MIN(1,NORMINV(RAND(),'Assumption Table'!$D$31,'Assumption Table'!$E$31)))</f>
        <v>7.8563600413728701E-2</v>
      </c>
      <c r="BB36" s="105">
        <f ca="1">MAX(0,MIN(1,NORMINV(RAND(),'Assumption Table'!$D$31,'Assumption Table'!$E$31)))</f>
        <v>3.1670675818555594E-2</v>
      </c>
      <c r="BC36" s="105">
        <f ca="1">MAX(0,MIN(1,NORMINV(RAND(),'Assumption Table'!$D$31,'Assumption Table'!$E$31)))</f>
        <v>0.21728303859019502</v>
      </c>
      <c r="BD36" s="105">
        <f ca="1">MAX(0,MIN(1,NORMINV(RAND(),'Assumption Table'!$D$31,'Assumption Table'!$E$31)))</f>
        <v>0.13917899425918029</v>
      </c>
      <c r="BE36" s="105">
        <f ca="1">MAX(0,MIN(1,NORMINV(RAND(),'Assumption Table'!$D$31,'Assumption Table'!$E$31)))</f>
        <v>0.27831163639192846</v>
      </c>
      <c r="BF36" s="105">
        <f ca="1">MAX(0,MIN(1,NORMINV(RAND(),'Assumption Table'!$D$31,'Assumption Table'!$E$31)))</f>
        <v>0.21356084594097632</v>
      </c>
      <c r="BG36" s="105">
        <f ca="1">MAX(0,MIN(1,NORMINV(RAND(),'Assumption Table'!$D$31,'Assumption Table'!$E$31)))</f>
        <v>7.4855682994084696E-2</v>
      </c>
      <c r="BH36" s="105">
        <f ca="1">MAX(0,MIN(1,NORMINV(RAND(),'Assumption Table'!$D$31,'Assumption Table'!$E$31)))</f>
        <v>0.1136801201773808</v>
      </c>
      <c r="BI36" s="106">
        <f ca="1">MAX(0,MIN(1,NORMINV(RAND(),'Assumption Table'!$D$31,'Assumption Table'!$E$31)))</f>
        <v>0.17754602029799024</v>
      </c>
      <c r="BJ36" s="10"/>
      <c r="BK36" s="105"/>
      <c r="BL36" s="105"/>
      <c r="BM36" s="105"/>
      <c r="BN36" s="105"/>
      <c r="BO36" s="105"/>
    </row>
    <row r="37" spans="1:67" ht="13.4" customHeight="1">
      <c r="A37" s="22" t="s">
        <v>229</v>
      </c>
      <c r="B37" s="31">
        <f t="shared" ref="B37:AG37" ca="1" si="13">SUM(B29,B31,B33,B35)</f>
        <v>91263.072915278113</v>
      </c>
      <c r="C37" s="31">
        <f t="shared" ca="1" si="13"/>
        <v>194180.17748164653</v>
      </c>
      <c r="D37" s="31">
        <f t="shared" ca="1" si="13"/>
        <v>471045.50058016664</v>
      </c>
      <c r="E37" s="31">
        <f t="shared" ca="1" si="13"/>
        <v>278136.35624521505</v>
      </c>
      <c r="F37" s="31">
        <f t="shared" ca="1" si="13"/>
        <v>482117.81751322717</v>
      </c>
      <c r="G37" s="31">
        <f t="shared" ca="1" si="13"/>
        <v>746179.97357038083</v>
      </c>
      <c r="H37" s="31">
        <f t="shared" ca="1" si="13"/>
        <v>713005.91058918089</v>
      </c>
      <c r="I37" s="31">
        <f t="shared" ca="1" si="13"/>
        <v>1084261.4569306925</v>
      </c>
      <c r="J37" s="31">
        <f t="shared" ca="1" si="13"/>
        <v>1390979.8778047967</v>
      </c>
      <c r="K37" s="31">
        <f t="shared" ca="1" si="13"/>
        <v>1320239.1789778755</v>
      </c>
      <c r="L37" s="31">
        <f t="shared" ca="1" si="13"/>
        <v>1620120.3360912707</v>
      </c>
      <c r="M37" s="31">
        <f t="shared" ca="1" si="13"/>
        <v>626590.98854659521</v>
      </c>
      <c r="N37" s="31">
        <f t="shared" ca="1" si="13"/>
        <v>2049697.5189984068</v>
      </c>
      <c r="O37" s="31">
        <f t="shared" ca="1" si="13"/>
        <v>2079689.5286800128</v>
      </c>
      <c r="P37" s="31">
        <f t="shared" ca="1" si="13"/>
        <v>2581480.6036983333</v>
      </c>
      <c r="Q37" s="31">
        <f t="shared" ca="1" si="13"/>
        <v>2079953.9844087805</v>
      </c>
      <c r="R37" s="31">
        <f t="shared" ca="1" si="13"/>
        <v>2724639.0707571935</v>
      </c>
      <c r="S37" s="31">
        <f t="shared" ca="1" si="13"/>
        <v>2212807.2831720412</v>
      </c>
      <c r="T37" s="31">
        <f t="shared" ca="1" si="13"/>
        <v>2482171.6227602949</v>
      </c>
      <c r="U37" s="31">
        <f t="shared" ca="1" si="13"/>
        <v>1978967.1422805567</v>
      </c>
      <c r="V37" s="31">
        <f t="shared" ca="1" si="13"/>
        <v>3653835.2486804072</v>
      </c>
      <c r="W37" s="31">
        <f t="shared" ca="1" si="13"/>
        <v>4475752.8672752567</v>
      </c>
      <c r="X37" s="31">
        <f t="shared" ca="1" si="13"/>
        <v>2989993.551642972</v>
      </c>
      <c r="Y37" s="31">
        <f t="shared" ca="1" si="13"/>
        <v>2339875.4577370882</v>
      </c>
      <c r="Z37" s="31">
        <f t="shared" ca="1" si="13"/>
        <v>5344674.0966550875</v>
      </c>
      <c r="AA37" s="31">
        <f t="shared" ca="1" si="13"/>
        <v>3671220.1470652735</v>
      </c>
      <c r="AB37" s="31">
        <f t="shared" ca="1" si="13"/>
        <v>3825303.7279811809</v>
      </c>
      <c r="AC37" s="31">
        <f t="shared" ca="1" si="13"/>
        <v>5280796.902831478</v>
      </c>
      <c r="AD37" s="31">
        <f t="shared" ca="1" si="13"/>
        <v>2580276.3658652119</v>
      </c>
      <c r="AE37" s="31">
        <f t="shared" ca="1" si="13"/>
        <v>5111827.3355868096</v>
      </c>
      <c r="AF37" s="31">
        <f t="shared" ca="1" si="13"/>
        <v>3894353.7539056567</v>
      </c>
      <c r="AG37" s="31">
        <f t="shared" ca="1" si="13"/>
        <v>2722350.4064210225</v>
      </c>
      <c r="AH37" s="31">
        <f t="shared" ref="AH37:BI37" ca="1" si="14">SUM(AH29,AH31,AH33,AH35)</f>
        <v>2323753.4446914177</v>
      </c>
      <c r="AI37" s="31">
        <f t="shared" ca="1" si="14"/>
        <v>3571515.4527697293</v>
      </c>
      <c r="AJ37" s="31">
        <f t="shared" ca="1" si="14"/>
        <v>10182093.355118679</v>
      </c>
      <c r="AK37" s="31">
        <f t="shared" ca="1" si="14"/>
        <v>4678008.7286588838</v>
      </c>
      <c r="AL37" s="31">
        <f t="shared" ca="1" si="14"/>
        <v>5754627.2870456586</v>
      </c>
      <c r="AM37" s="31">
        <f t="shared" ca="1" si="14"/>
        <v>7726042.8348920206</v>
      </c>
      <c r="AN37" s="31">
        <f t="shared" ca="1" si="14"/>
        <v>7017711.5824933555</v>
      </c>
      <c r="AO37" s="31">
        <f t="shared" ca="1" si="14"/>
        <v>2484668.8285338944</v>
      </c>
      <c r="AP37" s="31">
        <f t="shared" ca="1" si="14"/>
        <v>3305482.000181233</v>
      </c>
      <c r="AQ37" s="31">
        <f t="shared" ca="1" si="14"/>
        <v>5121233.9932753611</v>
      </c>
      <c r="AR37" s="31">
        <f t="shared" ca="1" si="14"/>
        <v>3269078.252043575</v>
      </c>
      <c r="AS37" s="31">
        <f t="shared" ca="1" si="14"/>
        <v>7729456.6605115347</v>
      </c>
      <c r="AT37" s="31">
        <f t="shared" ca="1" si="14"/>
        <v>7096350.1090218211</v>
      </c>
      <c r="AU37" s="31">
        <f t="shared" ca="1" si="14"/>
        <v>6907347.7717978209</v>
      </c>
      <c r="AV37" s="31">
        <f t="shared" ca="1" si="14"/>
        <v>7445183.0168735264</v>
      </c>
      <c r="AW37" s="31">
        <f t="shared" ca="1" si="14"/>
        <v>10329155.218764253</v>
      </c>
      <c r="AX37" s="31">
        <f t="shared" ca="1" si="14"/>
        <v>7363117.5946500935</v>
      </c>
      <c r="AY37" s="31">
        <f t="shared" ca="1" si="14"/>
        <v>6162748.579473529</v>
      </c>
      <c r="AZ37" s="31">
        <f t="shared" ca="1" si="14"/>
        <v>7646879.8039549878</v>
      </c>
      <c r="BA37" s="31">
        <f t="shared" ca="1" si="14"/>
        <v>4772602.2999151675</v>
      </c>
      <c r="BB37" s="31">
        <f t="shared" ca="1" si="14"/>
        <v>5838035.2918328559</v>
      </c>
      <c r="BC37" s="31">
        <f t="shared" ca="1" si="14"/>
        <v>12642921.6621239</v>
      </c>
      <c r="BD37" s="31">
        <f t="shared" ca="1" si="14"/>
        <v>10899424.215696419</v>
      </c>
      <c r="BE37" s="31">
        <f t="shared" ca="1" si="14"/>
        <v>15696592.802816922</v>
      </c>
      <c r="BF37" s="31">
        <f t="shared" ca="1" si="14"/>
        <v>15956662.66977904</v>
      </c>
      <c r="BG37" s="31">
        <f t="shared" ca="1" si="14"/>
        <v>13397934.56777343</v>
      </c>
      <c r="BH37" s="31">
        <f t="shared" ca="1" si="14"/>
        <v>6436903.1372251809</v>
      </c>
      <c r="BI37" s="107">
        <f t="shared" ca="1" si="14"/>
        <v>14032761.167563967</v>
      </c>
      <c r="BJ37" s="21" t="str">
        <f>A37</f>
        <v>Total revenue from In app Purchase</v>
      </c>
      <c r="BK37" s="31">
        <f ca="1">SUMIFS($B37:$BI37,$B$4:$BI$4,"&lt;=12")</f>
        <v>9018120.6472463254</v>
      </c>
      <c r="BL37" s="31">
        <f ca="1">SUMIFS($B37:$BI37,$B$4:$BI$4,"&lt;=24",$B$4:$BI$4,"&gt;12")</f>
        <v>31648863.880091347</v>
      </c>
      <c r="BM37" s="31">
        <f ca="1">SUMIFS($B37:$BI37,$B$4:$BI$4,"&lt;=36",$B$4:$BI$4,"&gt;24")</f>
        <v>53186173.717550427</v>
      </c>
      <c r="BN37" s="31">
        <f ca="1">SUMIFS($B37:$BI37,$B$4:$BI$4,"&lt;=48",$B$4:$BI$4,"&gt;36")</f>
        <v>74186337.555434048</v>
      </c>
      <c r="BO37" s="31">
        <f ca="1">SUMIFS($B37:$BI37,$B$4:$BI$4,"&lt;=60",$B$4:$BI$4,"&gt;48")</f>
        <v>120846583.79280549</v>
      </c>
    </row>
    <row r="38" spans="1:67" ht="13.4" customHeight="1">
      <c r="A38" s="4"/>
      <c r="B38" s="4"/>
      <c r="C38" s="4"/>
      <c r="D38" s="4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3"/>
      <c r="BJ38" s="17">
        <f>A38</f>
        <v>0</v>
      </c>
      <c r="BK38" s="4"/>
      <c r="BL38" s="4"/>
      <c r="BM38" s="6"/>
      <c r="BN38" s="6"/>
      <c r="BO38" s="6"/>
    </row>
    <row r="39" spans="1:67" ht="13.4" customHeight="1">
      <c r="A39" s="108" t="str">
        <f>'Assumption Table'!B33</f>
        <v>4. Advertisement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3"/>
      <c r="BJ39" s="109" t="str">
        <f>A39</f>
        <v>4. Advertisement</v>
      </c>
      <c r="BK39" s="4"/>
      <c r="BL39" s="4"/>
      <c r="BM39" s="4"/>
      <c r="BN39" s="4"/>
      <c r="BO39" s="4"/>
    </row>
    <row r="40" spans="1:67" ht="13.4" customHeight="1">
      <c r="A40" s="4" t="s">
        <v>31</v>
      </c>
      <c r="B40" s="85">
        <f ca="1">ROUND(MAX(0,NORMINV(RAND(),'Assumption Table'!$C$35,'Assumption Table'!$C$36)),0)</f>
        <v>10079</v>
      </c>
      <c r="C40" s="85">
        <f ca="1">ROUND(MAX(0,NORMINV(RAND(),'Assumption Table'!$C$35,'Assumption Table'!$C$36)),0)</f>
        <v>11067</v>
      </c>
      <c r="D40" s="85">
        <f ca="1">ROUND(MAX(0,NORMINV(RAND(),'Assumption Table'!$C$35,'Assumption Table'!$C$36)),0)</f>
        <v>11537</v>
      </c>
      <c r="E40" s="85">
        <f ca="1">ROUND(MAX(0,NORMINV(RAND(),'Assumption Table'!$C$35,'Assumption Table'!$C$36)),0)</f>
        <v>10424</v>
      </c>
      <c r="F40" s="85">
        <f ca="1">ROUND(MAX(0,NORMINV(RAND(),'Assumption Table'!$C$35,'Assumption Table'!$C$36)),0)</f>
        <v>11173</v>
      </c>
      <c r="G40" s="85">
        <f ca="1">ROUND(MAX(0,NORMINV(RAND(),'Assumption Table'!$C$35,'Assumption Table'!$C$36)),0)</f>
        <v>8244</v>
      </c>
      <c r="H40" s="85">
        <f ca="1">ROUND(MAX(0,NORMINV(RAND(),'Assumption Table'!$C$35,'Assumption Table'!$C$36)),0)</f>
        <v>10918</v>
      </c>
      <c r="I40" s="85">
        <f ca="1">ROUND(MAX(0,NORMINV(RAND(),'Assumption Table'!$C$35,'Assumption Table'!$C$36)),0)</f>
        <v>9396</v>
      </c>
      <c r="J40" s="85">
        <f ca="1">ROUND(MAX(0,NORMINV(RAND(),'Assumption Table'!$C$35,'Assumption Table'!$C$36)),0)</f>
        <v>9875</v>
      </c>
      <c r="K40" s="85">
        <f ca="1">ROUND(MAX(0,NORMINV(RAND(),'Assumption Table'!$C$35,'Assumption Table'!$C$36)),0)</f>
        <v>10498</v>
      </c>
      <c r="L40" s="85">
        <f ca="1">ROUND(MAX(0,NORMINV(RAND(),'Assumption Table'!$C$35,'Assumption Table'!$C$36)),0)</f>
        <v>10350</v>
      </c>
      <c r="M40" s="85">
        <f ca="1">ROUND(MAX(0,NORMINV(RAND(),'Assumption Table'!$C$35,'Assumption Table'!$C$36)),0)</f>
        <v>10992</v>
      </c>
      <c r="N40" s="85">
        <f ca="1">ROUND(MAX(0,NORMINV(RAND(),'Assumption Table'!$C$35,'Assumption Table'!$C$36)),0)</f>
        <v>10834</v>
      </c>
      <c r="O40" s="85">
        <f ca="1">ROUND(MAX(0,NORMINV(RAND(),'Assumption Table'!$C$35,'Assumption Table'!$C$36)),0)</f>
        <v>10412</v>
      </c>
      <c r="P40" s="85">
        <f ca="1">ROUND(MAX(0,NORMINV(RAND(),'Assumption Table'!$C$35,'Assumption Table'!$C$36)),0)</f>
        <v>10804</v>
      </c>
      <c r="Q40" s="85">
        <f ca="1">ROUND(MAX(0,NORMINV(RAND(),'Assumption Table'!$C$35,'Assumption Table'!$C$36)),0)</f>
        <v>10029</v>
      </c>
      <c r="R40" s="85">
        <f ca="1">ROUND(MAX(0,NORMINV(RAND(),'Assumption Table'!$C$35,'Assumption Table'!$C$36)),0)</f>
        <v>9716</v>
      </c>
      <c r="S40" s="85">
        <f ca="1">ROUND(MAX(0,NORMINV(RAND(),'Assumption Table'!$C$35,'Assumption Table'!$C$36)),0)</f>
        <v>9629</v>
      </c>
      <c r="T40" s="85">
        <f ca="1">ROUND(MAX(0,NORMINV(RAND(),'Assumption Table'!$C$35,'Assumption Table'!$C$36)),0)</f>
        <v>9681</v>
      </c>
      <c r="U40" s="85">
        <f ca="1">ROUND(MAX(0,NORMINV(RAND(),'Assumption Table'!$C$35,'Assumption Table'!$C$36)),0)</f>
        <v>9700</v>
      </c>
      <c r="V40" s="85">
        <f ca="1">ROUND(MAX(0,NORMINV(RAND(),'Assumption Table'!$C$35,'Assumption Table'!$C$36)),0)</f>
        <v>9775</v>
      </c>
      <c r="W40" s="85">
        <f ca="1">ROUND(MAX(0,NORMINV(RAND(),'Assumption Table'!$C$35,'Assumption Table'!$C$36)),0)</f>
        <v>9620</v>
      </c>
      <c r="X40" s="85">
        <f ca="1">ROUND(MAX(0,NORMINV(RAND(),'Assumption Table'!$C$35,'Assumption Table'!$C$36)),0)</f>
        <v>10059</v>
      </c>
      <c r="Y40" s="85">
        <f ca="1">ROUND(MAX(0,NORMINV(RAND(),'Assumption Table'!$C$35,'Assumption Table'!$C$36)),0)</f>
        <v>10999</v>
      </c>
      <c r="Z40" s="85">
        <f ca="1">ROUND(MAX(0,NORMINV(RAND(),'Assumption Table'!$C$35,'Assumption Table'!$C$36)),0)</f>
        <v>11844</v>
      </c>
      <c r="AA40" s="85">
        <f ca="1">ROUND(MAX(0,NORMINV(RAND(),'Assumption Table'!$C$35,'Assumption Table'!$C$36)),0)</f>
        <v>9629</v>
      </c>
      <c r="AB40" s="85">
        <f ca="1">ROUND(MAX(0,NORMINV(RAND(),'Assumption Table'!$C$35,'Assumption Table'!$C$36)),0)</f>
        <v>7947</v>
      </c>
      <c r="AC40" s="85">
        <f ca="1">ROUND(MAX(0,NORMINV(RAND(),'Assumption Table'!$C$35,'Assumption Table'!$C$36)),0)</f>
        <v>9512</v>
      </c>
      <c r="AD40" s="85">
        <f ca="1">ROUND(MAX(0,NORMINV(RAND(),'Assumption Table'!$C$35,'Assumption Table'!$C$36)),0)</f>
        <v>10313</v>
      </c>
      <c r="AE40" s="85">
        <f ca="1">ROUND(MAX(0,NORMINV(RAND(),'Assumption Table'!$C$35,'Assumption Table'!$C$36)),0)</f>
        <v>8997</v>
      </c>
      <c r="AF40" s="85">
        <f ca="1">ROUND(MAX(0,NORMINV(RAND(),'Assumption Table'!$C$35,'Assumption Table'!$C$36)),0)</f>
        <v>10261</v>
      </c>
      <c r="AG40" s="85">
        <f ca="1">ROUND(MAX(0,NORMINV(RAND(),'Assumption Table'!$C$35,'Assumption Table'!$C$36)),0)</f>
        <v>11016</v>
      </c>
      <c r="AH40" s="85">
        <f ca="1">ROUND(MAX(0,NORMINV(RAND(),'Assumption Table'!$C$35,'Assumption Table'!$C$36)),0)</f>
        <v>9472</v>
      </c>
      <c r="AI40" s="85">
        <f ca="1">ROUND(MAX(0,NORMINV(RAND(),'Assumption Table'!$C$35,'Assumption Table'!$C$36)),0)</f>
        <v>7865</v>
      </c>
      <c r="AJ40" s="85">
        <f ca="1">ROUND(MAX(0,NORMINV(RAND(),'Assumption Table'!$C$35,'Assumption Table'!$C$36)),0)</f>
        <v>10431</v>
      </c>
      <c r="AK40" s="85">
        <f ca="1">ROUND(MAX(0,NORMINV(RAND(),'Assumption Table'!$C$35,'Assumption Table'!$C$36)),0)</f>
        <v>11058</v>
      </c>
      <c r="AL40" s="85">
        <f ca="1">ROUND(MAX(0,NORMINV(RAND(),'Assumption Table'!$C$35,'Assumption Table'!$C$36)),0)</f>
        <v>9182</v>
      </c>
      <c r="AM40" s="85">
        <f ca="1">ROUND(MAX(0,NORMINV(RAND(),'Assumption Table'!$C$35,'Assumption Table'!$C$36)),0)</f>
        <v>12100</v>
      </c>
      <c r="AN40" s="85">
        <f ca="1">ROUND(MAX(0,NORMINV(RAND(),'Assumption Table'!$C$35,'Assumption Table'!$C$36)),0)</f>
        <v>9198</v>
      </c>
      <c r="AO40" s="85">
        <f ca="1">ROUND(MAX(0,NORMINV(RAND(),'Assumption Table'!$C$35,'Assumption Table'!$C$36)),0)</f>
        <v>11033</v>
      </c>
      <c r="AP40" s="85">
        <f ca="1">ROUND(MAX(0,NORMINV(RAND(),'Assumption Table'!$C$35,'Assumption Table'!$C$36)),0)</f>
        <v>11135</v>
      </c>
      <c r="AQ40" s="85">
        <f ca="1">ROUND(MAX(0,NORMINV(RAND(),'Assumption Table'!$C$35,'Assumption Table'!$C$36)),0)</f>
        <v>10209</v>
      </c>
      <c r="AR40" s="85">
        <f ca="1">ROUND(MAX(0,NORMINV(RAND(),'Assumption Table'!$C$35,'Assumption Table'!$C$36)),0)</f>
        <v>9283</v>
      </c>
      <c r="AS40" s="85">
        <f ca="1">ROUND(MAX(0,NORMINV(RAND(),'Assumption Table'!$C$35,'Assumption Table'!$C$36)),0)</f>
        <v>10168</v>
      </c>
      <c r="AT40" s="85">
        <f ca="1">ROUND(MAX(0,NORMINV(RAND(),'Assumption Table'!$C$35,'Assumption Table'!$C$36)),0)</f>
        <v>9586</v>
      </c>
      <c r="AU40" s="85">
        <f ca="1">ROUND(MAX(0,NORMINV(RAND(),'Assumption Table'!$C$35,'Assumption Table'!$C$36)),0)</f>
        <v>7973</v>
      </c>
      <c r="AV40" s="85">
        <f ca="1">ROUND(MAX(0,NORMINV(RAND(),'Assumption Table'!$C$35,'Assumption Table'!$C$36)),0)</f>
        <v>8727</v>
      </c>
      <c r="AW40" s="85">
        <f ca="1">ROUND(MAX(0,NORMINV(RAND(),'Assumption Table'!$C$35,'Assumption Table'!$C$36)),0)</f>
        <v>11940</v>
      </c>
      <c r="AX40" s="85">
        <f ca="1">ROUND(MAX(0,NORMINV(RAND(),'Assumption Table'!$C$35,'Assumption Table'!$C$36)),0)</f>
        <v>9282</v>
      </c>
      <c r="AY40" s="85">
        <f ca="1">ROUND(MAX(0,NORMINV(RAND(),'Assumption Table'!$C$35,'Assumption Table'!$C$36)),0)</f>
        <v>8545</v>
      </c>
      <c r="AZ40" s="85">
        <f ca="1">ROUND(MAX(0,NORMINV(RAND(),'Assumption Table'!$C$35,'Assumption Table'!$C$36)),0)</f>
        <v>9251</v>
      </c>
      <c r="BA40" s="85">
        <f ca="1">ROUND(MAX(0,NORMINV(RAND(),'Assumption Table'!$C$35,'Assumption Table'!$C$36)),0)</f>
        <v>9578</v>
      </c>
      <c r="BB40" s="85">
        <f ca="1">ROUND(MAX(0,NORMINV(RAND(),'Assumption Table'!$C$35,'Assumption Table'!$C$36)),0)</f>
        <v>11212</v>
      </c>
      <c r="BC40" s="85">
        <f ca="1">ROUND(MAX(0,NORMINV(RAND(),'Assumption Table'!$C$35,'Assumption Table'!$C$36)),0)</f>
        <v>10263</v>
      </c>
      <c r="BD40" s="85">
        <f ca="1">ROUND(MAX(0,NORMINV(RAND(),'Assumption Table'!$C$35,'Assumption Table'!$C$36)),0)</f>
        <v>8523</v>
      </c>
      <c r="BE40" s="85">
        <f ca="1">ROUND(MAX(0,NORMINV(RAND(),'Assumption Table'!$C$35,'Assumption Table'!$C$36)),0)</f>
        <v>8579</v>
      </c>
      <c r="BF40" s="85">
        <f ca="1">ROUND(MAX(0,NORMINV(RAND(),'Assumption Table'!$C$35,'Assumption Table'!$C$36)),0)</f>
        <v>9455</v>
      </c>
      <c r="BG40" s="85">
        <f ca="1">ROUND(MAX(0,NORMINV(RAND(),'Assumption Table'!$C$35,'Assumption Table'!$C$36)),0)</f>
        <v>9472</v>
      </c>
      <c r="BH40" s="85">
        <f ca="1">ROUND(MAX(0,NORMINV(RAND(),'Assumption Table'!$C$35,'Assumption Table'!$C$36)),0)</f>
        <v>9978</v>
      </c>
      <c r="BI40" s="86">
        <f ca="1">ROUND(MAX(0,NORMINV(RAND(),'Assumption Table'!$C$35,'Assumption Table'!$C$36)),0)</f>
        <v>10267</v>
      </c>
      <c r="BJ40" s="110" t="str">
        <f>A40</f>
        <v>Impressions</v>
      </c>
      <c r="BK40" s="85">
        <f ca="1">SUMIFS($B40:$BI40,$B$4:$BI$4,"&lt;=12")</f>
        <v>124553</v>
      </c>
      <c r="BL40" s="85">
        <f ca="1">SUMIFS($B40:$BI40,$B$4:$BI$4,"&lt;=24",$B$4:$BI$4,"&gt;12")</f>
        <v>121258</v>
      </c>
      <c r="BM40" s="85">
        <f ca="1">SUMIFS($B40:$BI40,$B$4:$BI$4,"&lt;=36",$B$4:$BI$4,"&gt;24")</f>
        <v>118345</v>
      </c>
      <c r="BN40" s="85">
        <f ca="1">SUMIFS($B40:$BI40,$B$4:$BI$4,"&lt;=48",$B$4:$BI$4,"&gt;36")</f>
        <v>120534</v>
      </c>
      <c r="BO40" s="85">
        <f ca="1">SUMIFS($B40:$BI40,$B$4:$BI$4,"&lt;=60",$B$4:$BI$4,"&gt;48")</f>
        <v>114405</v>
      </c>
    </row>
    <row r="41" spans="1:67" ht="13.4" customHeight="1">
      <c r="A41" s="4" t="s">
        <v>230</v>
      </c>
      <c r="B41" s="99">
        <f ca="1">MAX(0,MIN(1,NORMINV(RAND(),'Assumption Table'!$C$38,'Assumption Table'!$C$39)))</f>
        <v>0.24736080269807062</v>
      </c>
      <c r="C41" s="99">
        <f ca="1">MAX(0,MIN(1,NORMINV(RAND(),'Assumption Table'!$C$38,'Assumption Table'!$C$39)))</f>
        <v>0.24990149413568066</v>
      </c>
      <c r="D41" s="99">
        <f ca="1">MAX(0,MIN(1,NORMINV(RAND(),'Assumption Table'!$C$38,'Assumption Table'!$C$39)))</f>
        <v>0.23942449210354519</v>
      </c>
      <c r="E41" s="99">
        <f ca="1">MAX(0,MIN(1,NORMINV(RAND(),'Assumption Table'!$C$38,'Assumption Table'!$C$39)))</f>
        <v>0.25222840786023354</v>
      </c>
      <c r="F41" s="99">
        <f ca="1">MAX(0,MIN(1,NORMINV(RAND(),'Assumption Table'!$C$38,'Assumption Table'!$C$39)))</f>
        <v>0.24590516117238906</v>
      </c>
      <c r="G41" s="99">
        <f ca="1">MAX(0,MIN(1,NORMINV(RAND(),'Assumption Table'!$C$38,'Assumption Table'!$C$39)))</f>
        <v>0.24639793553551242</v>
      </c>
      <c r="H41" s="99">
        <f ca="1">MAX(0,MIN(1,NORMINV(RAND(),'Assumption Table'!$C$38,'Assumption Table'!$C$39)))</f>
        <v>0.25308280738133043</v>
      </c>
      <c r="I41" s="99">
        <f ca="1">MAX(0,MIN(1,NORMINV(RAND(),'Assumption Table'!$C$38,'Assumption Table'!$C$39)))</f>
        <v>0.24942221618818575</v>
      </c>
      <c r="J41" s="99">
        <f ca="1">MAX(0,MIN(1,NORMINV(RAND(),'Assumption Table'!$C$38,'Assumption Table'!$C$39)))</f>
        <v>0.24648488401494975</v>
      </c>
      <c r="K41" s="99">
        <f ca="1">MAX(0,MIN(1,NORMINV(RAND(),'Assumption Table'!$C$38,'Assumption Table'!$C$39)))</f>
        <v>0.24767823947730744</v>
      </c>
      <c r="L41" s="99">
        <f ca="1">MAX(0,MIN(1,NORMINV(RAND(),'Assumption Table'!$C$38,'Assumption Table'!$C$39)))</f>
        <v>0.2424835777996634</v>
      </c>
      <c r="M41" s="99">
        <f ca="1">MAX(0,MIN(1,NORMINV(RAND(),'Assumption Table'!$C$38,'Assumption Table'!$C$39)))</f>
        <v>0.2522343533777035</v>
      </c>
      <c r="N41" s="99">
        <f ca="1">MAX(0,MIN(1,NORMINV(RAND(),'Assumption Table'!$C$38,'Assumption Table'!$C$39)))</f>
        <v>0.24832915440058703</v>
      </c>
      <c r="O41" s="99">
        <f ca="1">MAX(0,MIN(1,NORMINV(RAND(),'Assumption Table'!$C$38,'Assumption Table'!$C$39)))</f>
        <v>0.25319600227212247</v>
      </c>
      <c r="P41" s="99">
        <f ca="1">MAX(0,MIN(1,NORMINV(RAND(),'Assumption Table'!$C$38,'Assumption Table'!$C$39)))</f>
        <v>0.2600026025213053</v>
      </c>
      <c r="Q41" s="99">
        <f ca="1">MAX(0,MIN(1,NORMINV(RAND(),'Assumption Table'!$C$38,'Assumption Table'!$C$39)))</f>
        <v>0.24515408349663559</v>
      </c>
      <c r="R41" s="99">
        <f ca="1">MAX(0,MIN(1,NORMINV(RAND(),'Assumption Table'!$C$38,'Assumption Table'!$C$39)))</f>
        <v>0.25413376208805283</v>
      </c>
      <c r="S41" s="99">
        <f ca="1">MAX(0,MIN(1,NORMINV(RAND(),'Assumption Table'!$C$38,'Assumption Table'!$C$39)))</f>
        <v>0.24988085905486376</v>
      </c>
      <c r="T41" s="99">
        <f ca="1">MAX(0,MIN(1,NORMINV(RAND(),'Assumption Table'!$C$38,'Assumption Table'!$C$39)))</f>
        <v>0.25185321273324157</v>
      </c>
      <c r="U41" s="99">
        <f ca="1">MAX(0,MIN(1,NORMINV(RAND(),'Assumption Table'!$C$38,'Assumption Table'!$C$39)))</f>
        <v>0.25146285211033259</v>
      </c>
      <c r="V41" s="99">
        <f ca="1">MAX(0,MIN(1,NORMINV(RAND(),'Assumption Table'!$C$38,'Assumption Table'!$C$39)))</f>
        <v>0.23975868935200509</v>
      </c>
      <c r="W41" s="99">
        <f ca="1">MAX(0,MIN(1,NORMINV(RAND(),'Assumption Table'!$C$38,'Assumption Table'!$C$39)))</f>
        <v>0.25436283357876516</v>
      </c>
      <c r="X41" s="99">
        <f ca="1">MAX(0,MIN(1,NORMINV(RAND(),'Assumption Table'!$C$38,'Assumption Table'!$C$39)))</f>
        <v>0.25412241318371942</v>
      </c>
      <c r="Y41" s="99">
        <f ca="1">MAX(0,MIN(1,NORMINV(RAND(),'Assumption Table'!$C$38,'Assumption Table'!$C$39)))</f>
        <v>0.25246483463773239</v>
      </c>
      <c r="Z41" s="99">
        <f ca="1">MAX(0,MIN(1,NORMINV(RAND(),'Assumption Table'!$C$38,'Assumption Table'!$C$39)))</f>
        <v>0.25551001749673441</v>
      </c>
      <c r="AA41" s="99">
        <f ca="1">MAX(0,MIN(1,NORMINV(RAND(),'Assumption Table'!$C$38,'Assumption Table'!$C$39)))</f>
        <v>0.24458772319613828</v>
      </c>
      <c r="AB41" s="99">
        <f ca="1">MAX(0,MIN(1,NORMINV(RAND(),'Assumption Table'!$C$38,'Assumption Table'!$C$39)))</f>
        <v>0.25551432233135662</v>
      </c>
      <c r="AC41" s="99">
        <f ca="1">MAX(0,MIN(1,NORMINV(RAND(),'Assumption Table'!$C$38,'Assumption Table'!$C$39)))</f>
        <v>0.24433254699876394</v>
      </c>
      <c r="AD41" s="99">
        <f ca="1">MAX(0,MIN(1,NORMINV(RAND(),'Assumption Table'!$C$38,'Assumption Table'!$C$39)))</f>
        <v>0.251302024629739</v>
      </c>
      <c r="AE41" s="99">
        <f ca="1">MAX(0,MIN(1,NORMINV(RAND(),'Assumption Table'!$C$38,'Assumption Table'!$C$39)))</f>
        <v>0.25563908227847487</v>
      </c>
      <c r="AF41" s="99">
        <f ca="1">MAX(0,MIN(1,NORMINV(RAND(),'Assumption Table'!$C$38,'Assumption Table'!$C$39)))</f>
        <v>0.24509041936080211</v>
      </c>
      <c r="AG41" s="99">
        <f ca="1">MAX(0,MIN(1,NORMINV(RAND(),'Assumption Table'!$C$38,'Assumption Table'!$C$39)))</f>
        <v>0.2444800355373255</v>
      </c>
      <c r="AH41" s="99">
        <f ca="1">MAX(0,MIN(1,NORMINV(RAND(),'Assumption Table'!$C$38,'Assumption Table'!$C$39)))</f>
        <v>0.23976601047482177</v>
      </c>
      <c r="AI41" s="99">
        <f ca="1">MAX(0,MIN(1,NORMINV(RAND(),'Assumption Table'!$C$38,'Assumption Table'!$C$39)))</f>
        <v>0.25065002375134254</v>
      </c>
      <c r="AJ41" s="99">
        <f ca="1">MAX(0,MIN(1,NORMINV(RAND(),'Assumption Table'!$C$38,'Assumption Table'!$C$39)))</f>
        <v>0.25711821058717388</v>
      </c>
      <c r="AK41" s="99">
        <f ca="1">MAX(0,MIN(1,NORMINV(RAND(),'Assumption Table'!$C$38,'Assumption Table'!$C$39)))</f>
        <v>0.2535455722934008</v>
      </c>
      <c r="AL41" s="99">
        <f ca="1">MAX(0,MIN(1,NORMINV(RAND(),'Assumption Table'!$C$38,'Assumption Table'!$C$39)))</f>
        <v>0.2499036179224618</v>
      </c>
      <c r="AM41" s="99">
        <f ca="1">MAX(0,MIN(1,NORMINV(RAND(),'Assumption Table'!$C$38,'Assumption Table'!$C$39)))</f>
        <v>0.24695263260723396</v>
      </c>
      <c r="AN41" s="99">
        <f ca="1">MAX(0,MIN(1,NORMINV(RAND(),'Assumption Table'!$C$38,'Assumption Table'!$C$39)))</f>
        <v>0.24819719281841052</v>
      </c>
      <c r="AO41" s="99">
        <f ca="1">MAX(0,MIN(1,NORMINV(RAND(),'Assumption Table'!$C$38,'Assumption Table'!$C$39)))</f>
        <v>0.25140904082026594</v>
      </c>
      <c r="AP41" s="99">
        <f ca="1">MAX(0,MIN(1,NORMINV(RAND(),'Assumption Table'!$C$38,'Assumption Table'!$C$39)))</f>
        <v>0.25061247173795487</v>
      </c>
      <c r="AQ41" s="99">
        <f ca="1">MAX(0,MIN(1,NORMINV(RAND(),'Assumption Table'!$C$38,'Assumption Table'!$C$39)))</f>
        <v>0.25461150316601178</v>
      </c>
      <c r="AR41" s="99">
        <f ca="1">MAX(0,MIN(1,NORMINV(RAND(),'Assumption Table'!$C$38,'Assumption Table'!$C$39)))</f>
        <v>0.24740874966237794</v>
      </c>
      <c r="AS41" s="99">
        <f ca="1">MAX(0,MIN(1,NORMINV(RAND(),'Assumption Table'!$C$38,'Assumption Table'!$C$39)))</f>
        <v>0.24785272254594254</v>
      </c>
      <c r="AT41" s="99">
        <f ca="1">MAX(0,MIN(1,NORMINV(RAND(),'Assumption Table'!$C$38,'Assumption Table'!$C$39)))</f>
        <v>0.24526686894174918</v>
      </c>
      <c r="AU41" s="99">
        <f ca="1">MAX(0,MIN(1,NORMINV(RAND(),'Assumption Table'!$C$38,'Assumption Table'!$C$39)))</f>
        <v>0.25451608937300718</v>
      </c>
      <c r="AV41" s="99">
        <f ca="1">MAX(0,MIN(1,NORMINV(RAND(),'Assumption Table'!$C$38,'Assumption Table'!$C$39)))</f>
        <v>0.24642752714508845</v>
      </c>
      <c r="AW41" s="99">
        <f ca="1">MAX(0,MIN(1,NORMINV(RAND(),'Assumption Table'!$C$38,'Assumption Table'!$C$39)))</f>
        <v>0.25417382883327788</v>
      </c>
      <c r="AX41" s="99">
        <f ca="1">MAX(0,MIN(1,NORMINV(RAND(),'Assumption Table'!$C$38,'Assumption Table'!$C$39)))</f>
        <v>0.25329601090588733</v>
      </c>
      <c r="AY41" s="99">
        <f ca="1">MAX(0,MIN(1,NORMINV(RAND(),'Assumption Table'!$C$38,'Assumption Table'!$C$39)))</f>
        <v>0.25530252613585708</v>
      </c>
      <c r="AZ41" s="99">
        <f ca="1">MAX(0,MIN(1,NORMINV(RAND(),'Assumption Table'!$C$38,'Assumption Table'!$C$39)))</f>
        <v>0.24758646636684059</v>
      </c>
      <c r="BA41" s="99">
        <f ca="1">MAX(0,MIN(1,NORMINV(RAND(),'Assumption Table'!$C$38,'Assumption Table'!$C$39)))</f>
        <v>0.2497720915531364</v>
      </c>
      <c r="BB41" s="99">
        <f ca="1">MAX(0,MIN(1,NORMINV(RAND(),'Assumption Table'!$C$38,'Assumption Table'!$C$39)))</f>
        <v>0.25182207456693184</v>
      </c>
      <c r="BC41" s="99">
        <f ca="1">MAX(0,MIN(1,NORMINV(RAND(),'Assumption Table'!$C$38,'Assumption Table'!$C$39)))</f>
        <v>0.25437615008933673</v>
      </c>
      <c r="BD41" s="99">
        <f ca="1">MAX(0,MIN(1,NORMINV(RAND(),'Assumption Table'!$C$38,'Assumption Table'!$C$39)))</f>
        <v>0.25263936995795278</v>
      </c>
      <c r="BE41" s="99">
        <f ca="1">MAX(0,MIN(1,NORMINV(RAND(),'Assumption Table'!$C$38,'Assumption Table'!$C$39)))</f>
        <v>0.25258414867560997</v>
      </c>
      <c r="BF41" s="99">
        <f ca="1">MAX(0,MIN(1,NORMINV(RAND(),'Assumption Table'!$C$38,'Assumption Table'!$C$39)))</f>
        <v>0.24262224745532021</v>
      </c>
      <c r="BG41" s="99">
        <f ca="1">MAX(0,MIN(1,NORMINV(RAND(),'Assumption Table'!$C$38,'Assumption Table'!$C$39)))</f>
        <v>0.24673363485178545</v>
      </c>
      <c r="BH41" s="99">
        <f ca="1">MAX(0,MIN(1,NORMINV(RAND(),'Assumption Table'!$C$38,'Assumption Table'!$C$39)))</f>
        <v>0.25181197331984967</v>
      </c>
      <c r="BI41" s="100">
        <f ca="1">MAX(0,MIN(1,NORMINV(RAND(),'Assumption Table'!$C$38,'Assumption Table'!$C$39)))</f>
        <v>0.24783988582587785</v>
      </c>
      <c r="BJ41" s="17"/>
      <c r="BK41" s="99"/>
      <c r="BL41" s="99"/>
      <c r="BM41" s="99"/>
      <c r="BN41" s="99"/>
      <c r="BO41" s="99"/>
    </row>
    <row r="42" spans="1:67" ht="13.4" customHeight="1">
      <c r="A42" s="6" t="s">
        <v>231</v>
      </c>
      <c r="B42" s="27">
        <f>'Assumption Table'!$C$40</f>
        <v>0.7</v>
      </c>
      <c r="C42" s="27">
        <f>'Assumption Table'!$C$40</f>
        <v>0.7</v>
      </c>
      <c r="D42" s="27">
        <f>'Assumption Table'!$C$40</f>
        <v>0.7</v>
      </c>
      <c r="E42" s="27">
        <f>'Assumption Table'!$C$40</f>
        <v>0.7</v>
      </c>
      <c r="F42" s="27">
        <f>'Assumption Table'!$C$40</f>
        <v>0.7</v>
      </c>
      <c r="G42" s="27">
        <f>'Assumption Table'!$C$40</f>
        <v>0.7</v>
      </c>
      <c r="H42" s="27">
        <f>'Assumption Table'!$C$40</f>
        <v>0.7</v>
      </c>
      <c r="I42" s="27">
        <f>'Assumption Table'!$C$40</f>
        <v>0.7</v>
      </c>
      <c r="J42" s="27">
        <f>'Assumption Table'!$C$40</f>
        <v>0.7</v>
      </c>
      <c r="K42" s="27">
        <f>'Assumption Table'!$C$40</f>
        <v>0.7</v>
      </c>
      <c r="L42" s="27">
        <f>'Assumption Table'!$C$40</f>
        <v>0.7</v>
      </c>
      <c r="M42" s="27">
        <f>'Assumption Table'!$C$40</f>
        <v>0.7</v>
      </c>
      <c r="N42" s="27">
        <f>'Assumption Table'!$C$40</f>
        <v>0.7</v>
      </c>
      <c r="O42" s="27">
        <f>'Assumption Table'!$C$40</f>
        <v>0.7</v>
      </c>
      <c r="P42" s="27">
        <f>'Assumption Table'!$C$40</f>
        <v>0.7</v>
      </c>
      <c r="Q42" s="27">
        <f>'Assumption Table'!$C$40</f>
        <v>0.7</v>
      </c>
      <c r="R42" s="27">
        <f>'Assumption Table'!$C$40</f>
        <v>0.7</v>
      </c>
      <c r="S42" s="27">
        <f>'Assumption Table'!$C$40</f>
        <v>0.7</v>
      </c>
      <c r="T42" s="27">
        <f>'Assumption Table'!$C$40</f>
        <v>0.7</v>
      </c>
      <c r="U42" s="27">
        <f>'Assumption Table'!$C$40</f>
        <v>0.7</v>
      </c>
      <c r="V42" s="27">
        <f>'Assumption Table'!$C$40</f>
        <v>0.7</v>
      </c>
      <c r="W42" s="27">
        <f>'Assumption Table'!$C$40</f>
        <v>0.7</v>
      </c>
      <c r="X42" s="27">
        <f>'Assumption Table'!$C$40</f>
        <v>0.7</v>
      </c>
      <c r="Y42" s="27">
        <f>'Assumption Table'!$C$40</f>
        <v>0.7</v>
      </c>
      <c r="Z42" s="27">
        <f>'Assumption Table'!$C$40</f>
        <v>0.7</v>
      </c>
      <c r="AA42" s="27">
        <f>'Assumption Table'!$C$40</f>
        <v>0.7</v>
      </c>
      <c r="AB42" s="27">
        <f>'Assumption Table'!$C$40</f>
        <v>0.7</v>
      </c>
      <c r="AC42" s="27">
        <f>'Assumption Table'!$C$40</f>
        <v>0.7</v>
      </c>
      <c r="AD42" s="27">
        <f>'Assumption Table'!$C$40</f>
        <v>0.7</v>
      </c>
      <c r="AE42" s="27">
        <f>'Assumption Table'!$C$40</f>
        <v>0.7</v>
      </c>
      <c r="AF42" s="27">
        <f>'Assumption Table'!$C$40</f>
        <v>0.7</v>
      </c>
      <c r="AG42" s="27">
        <f>'Assumption Table'!$C$40</f>
        <v>0.7</v>
      </c>
      <c r="AH42" s="27">
        <f>'Assumption Table'!$C$40</f>
        <v>0.7</v>
      </c>
      <c r="AI42" s="27">
        <f>'Assumption Table'!$C$40</f>
        <v>0.7</v>
      </c>
      <c r="AJ42" s="27">
        <f>'Assumption Table'!$C$40</f>
        <v>0.7</v>
      </c>
      <c r="AK42" s="27">
        <f>'Assumption Table'!$C$40</f>
        <v>0.7</v>
      </c>
      <c r="AL42" s="27">
        <f>'Assumption Table'!$C$40</f>
        <v>0.7</v>
      </c>
      <c r="AM42" s="27">
        <f>'Assumption Table'!$C$40</f>
        <v>0.7</v>
      </c>
      <c r="AN42" s="27">
        <f>'Assumption Table'!$C$40</f>
        <v>0.7</v>
      </c>
      <c r="AO42" s="27">
        <f>'Assumption Table'!$C$40</f>
        <v>0.7</v>
      </c>
      <c r="AP42" s="27">
        <f>'Assumption Table'!$C$40</f>
        <v>0.7</v>
      </c>
      <c r="AQ42" s="27">
        <f>'Assumption Table'!$C$40</f>
        <v>0.7</v>
      </c>
      <c r="AR42" s="27">
        <f>'Assumption Table'!$C$40</f>
        <v>0.7</v>
      </c>
      <c r="AS42" s="27">
        <f>'Assumption Table'!$C$40</f>
        <v>0.7</v>
      </c>
      <c r="AT42" s="27">
        <f>'Assumption Table'!$C$40</f>
        <v>0.7</v>
      </c>
      <c r="AU42" s="27">
        <f>'Assumption Table'!$C$40</f>
        <v>0.7</v>
      </c>
      <c r="AV42" s="27">
        <f>'Assumption Table'!$C$40</f>
        <v>0.7</v>
      </c>
      <c r="AW42" s="27">
        <f>'Assumption Table'!$C$40</f>
        <v>0.7</v>
      </c>
      <c r="AX42" s="27">
        <f>'Assumption Table'!$C$40</f>
        <v>0.7</v>
      </c>
      <c r="AY42" s="27">
        <f>'Assumption Table'!$C$40</f>
        <v>0.7</v>
      </c>
      <c r="AZ42" s="27">
        <f>'Assumption Table'!$C$40</f>
        <v>0.7</v>
      </c>
      <c r="BA42" s="27">
        <f>'Assumption Table'!$C$40</f>
        <v>0.7</v>
      </c>
      <c r="BB42" s="27">
        <f>'Assumption Table'!$C$40</f>
        <v>0.7</v>
      </c>
      <c r="BC42" s="27">
        <f>'Assumption Table'!$C$40</f>
        <v>0.7</v>
      </c>
      <c r="BD42" s="27">
        <f>'Assumption Table'!$C$40</f>
        <v>0.7</v>
      </c>
      <c r="BE42" s="27">
        <f>'Assumption Table'!$C$40</f>
        <v>0.7</v>
      </c>
      <c r="BF42" s="27">
        <f>'Assumption Table'!$C$40</f>
        <v>0.7</v>
      </c>
      <c r="BG42" s="27">
        <f>'Assumption Table'!$C$40</f>
        <v>0.7</v>
      </c>
      <c r="BH42" s="27">
        <f>'Assumption Table'!$C$40</f>
        <v>0.7</v>
      </c>
      <c r="BI42" s="97">
        <f>'Assumption Table'!$C$40</f>
        <v>0.7</v>
      </c>
      <c r="BJ42" s="19"/>
      <c r="BK42" s="27"/>
      <c r="BL42" s="27"/>
      <c r="BM42" s="27"/>
      <c r="BN42" s="27"/>
      <c r="BO42" s="27"/>
    </row>
    <row r="43" spans="1:67" ht="13.4" customHeight="1">
      <c r="A43" s="22" t="s">
        <v>232</v>
      </c>
      <c r="B43" s="31">
        <f t="shared" ref="B43:AG43" ca="1" si="15">B40*B41*B42</f>
        <v>1745.2046712756974</v>
      </c>
      <c r="C43" s="31">
        <f t="shared" ca="1" si="15"/>
        <v>1935.9618849197045</v>
      </c>
      <c r="D43" s="31">
        <f t="shared" ca="1" si="15"/>
        <v>1933.5682557790203</v>
      </c>
      <c r="E43" s="31">
        <f t="shared" ca="1" si="15"/>
        <v>1840.4602464745519</v>
      </c>
      <c r="F43" s="31">
        <f t="shared" ca="1" si="15"/>
        <v>1923.2488560453721</v>
      </c>
      <c r="G43" s="31">
        <f t="shared" ca="1" si="15"/>
        <v>1421.9132063883351</v>
      </c>
      <c r="H43" s="31">
        <f t="shared" ca="1" si="15"/>
        <v>1934.2106636925557</v>
      </c>
      <c r="I43" s="31">
        <f t="shared" ca="1" si="15"/>
        <v>1640.4998003129353</v>
      </c>
      <c r="J43" s="31">
        <f t="shared" ca="1" si="15"/>
        <v>1703.8267607533401</v>
      </c>
      <c r="K43" s="31">
        <f t="shared" ca="1" si="15"/>
        <v>1820.0883106229414</v>
      </c>
      <c r="L43" s="31">
        <f t="shared" ca="1" si="15"/>
        <v>1756.7935211585611</v>
      </c>
      <c r="M43" s="31">
        <f t="shared" ca="1" si="15"/>
        <v>1940.7920086294016</v>
      </c>
      <c r="N43" s="31">
        <f t="shared" ca="1" si="15"/>
        <v>1883.2786411431716</v>
      </c>
      <c r="O43" s="31">
        <f t="shared" ca="1" si="15"/>
        <v>1845.3937429601372</v>
      </c>
      <c r="P43" s="31">
        <f t="shared" ca="1" si="15"/>
        <v>1966.3476823481278</v>
      </c>
      <c r="Q43" s="31">
        <f t="shared" ca="1" si="15"/>
        <v>1721.0552123714308</v>
      </c>
      <c r="R43" s="31">
        <f t="shared" ca="1" si="15"/>
        <v>1728.4145427132648</v>
      </c>
      <c r="S43" s="31">
        <f t="shared" ca="1" si="15"/>
        <v>1684.2719542874981</v>
      </c>
      <c r="T43" s="31">
        <f t="shared" ca="1" si="15"/>
        <v>1706.733666729358</v>
      </c>
      <c r="U43" s="31">
        <f t="shared" ca="1" si="15"/>
        <v>1707.4327658291581</v>
      </c>
      <c r="V43" s="31">
        <f t="shared" ca="1" si="15"/>
        <v>1640.5488318910948</v>
      </c>
      <c r="W43" s="31">
        <f t="shared" ca="1" si="15"/>
        <v>1712.8793213194044</v>
      </c>
      <c r="X43" s="31">
        <f t="shared" ca="1" si="15"/>
        <v>1789.3521479505234</v>
      </c>
      <c r="Y43" s="31">
        <f t="shared" ca="1" si="15"/>
        <v>1943.8025013262927</v>
      </c>
      <c r="Z43" s="31">
        <f t="shared" ca="1" si="15"/>
        <v>2118.3824530619254</v>
      </c>
      <c r="AA43" s="31">
        <f t="shared" ca="1" si="15"/>
        <v>1648.5946306589308</v>
      </c>
      <c r="AB43" s="31">
        <f t="shared" ca="1" si="15"/>
        <v>1421.4006236971036</v>
      </c>
      <c r="AC43" s="31">
        <f t="shared" ca="1" si="15"/>
        <v>1626.8638309365699</v>
      </c>
      <c r="AD43" s="31">
        <f t="shared" ca="1" si="15"/>
        <v>1814.1744460045486</v>
      </c>
      <c r="AE43" s="31">
        <f t="shared" ca="1" si="15"/>
        <v>1609.9893762816068</v>
      </c>
      <c r="AF43" s="31">
        <f t="shared" ca="1" si="15"/>
        <v>1760.4109551428332</v>
      </c>
      <c r="AG43" s="31">
        <f t="shared" ca="1" si="15"/>
        <v>1885.2344500354243</v>
      </c>
      <c r="AH43" s="31">
        <f t="shared" ref="AH43:BM43" ca="1" si="16">AH40*AH41*AH42</f>
        <v>1589.7445558522584</v>
      </c>
      <c r="AI43" s="31">
        <f t="shared" ca="1" si="16"/>
        <v>1379.9537057630162</v>
      </c>
      <c r="AJ43" s="31">
        <f t="shared" ca="1" si="16"/>
        <v>1877.4000382443674</v>
      </c>
      <c r="AK43" s="31">
        <f t="shared" ca="1" si="16"/>
        <v>1962.5948568942981</v>
      </c>
      <c r="AL43" s="31">
        <f t="shared" ca="1" si="16"/>
        <v>1606.2305138348308</v>
      </c>
      <c r="AM43" s="31">
        <f t="shared" ca="1" si="16"/>
        <v>2091.6887981832715</v>
      </c>
      <c r="AN43" s="31">
        <f t="shared" ca="1" si="16"/>
        <v>1598.0424456806179</v>
      </c>
      <c r="AO43" s="31">
        <f t="shared" ca="1" si="16"/>
        <v>1941.6571631589957</v>
      </c>
      <c r="AP43" s="31">
        <f t="shared" ca="1" si="16"/>
        <v>1953.398910961489</v>
      </c>
      <c r="AQ43" s="31">
        <f t="shared" ca="1" si="16"/>
        <v>1819.5301850752699</v>
      </c>
      <c r="AR43" s="31">
        <f t="shared" ca="1" si="16"/>
        <v>1607.6867961810979</v>
      </c>
      <c r="AS43" s="31">
        <f t="shared" ca="1" si="16"/>
        <v>1764.1165379930007</v>
      </c>
      <c r="AT43" s="31">
        <f t="shared" ca="1" si="16"/>
        <v>1645.7897439729252</v>
      </c>
      <c r="AU43" s="31">
        <f t="shared" ca="1" si="16"/>
        <v>1420.4797463996902</v>
      </c>
      <c r="AV43" s="31">
        <f t="shared" ca="1" si="16"/>
        <v>1505.4011205766308</v>
      </c>
      <c r="AW43" s="31">
        <f t="shared" ca="1" si="16"/>
        <v>2124.3848613885366</v>
      </c>
      <c r="AX43" s="31">
        <f t="shared" ca="1" si="16"/>
        <v>1645.7655012599121</v>
      </c>
      <c r="AY43" s="31">
        <f t="shared" ca="1" si="16"/>
        <v>1527.0920600816289</v>
      </c>
      <c r="AZ43" s="31">
        <f t="shared" ca="1" si="16"/>
        <v>1603.2956802517494</v>
      </c>
      <c r="BA43" s="31">
        <f t="shared" ca="1" si="16"/>
        <v>1674.621965027158</v>
      </c>
      <c r="BB43" s="31">
        <f t="shared" ca="1" si="16"/>
        <v>1976.400370031108</v>
      </c>
      <c r="BC43" s="31">
        <f t="shared" ca="1" si="16"/>
        <v>1827.4636998568039</v>
      </c>
      <c r="BD43" s="31">
        <f t="shared" ca="1" si="16"/>
        <v>1507.2717451061419</v>
      </c>
      <c r="BE43" s="31">
        <f t="shared" ca="1" si="16"/>
        <v>1516.8435880416405</v>
      </c>
      <c r="BF43" s="31">
        <f t="shared" ca="1" si="16"/>
        <v>1605.7953447830366</v>
      </c>
      <c r="BG43" s="31">
        <f t="shared" ca="1" si="16"/>
        <v>1635.9426925212781</v>
      </c>
      <c r="BH43" s="31">
        <f t="shared" ca="1" si="16"/>
        <v>1758.8059088498217</v>
      </c>
      <c r="BI43" s="107">
        <f t="shared" ca="1" si="16"/>
        <v>1781.2004754420013</v>
      </c>
      <c r="BJ43" s="21" t="str">
        <f>A43</f>
        <v>Total Revenue from Advertisement</v>
      </c>
      <c r="BK43" s="31">
        <f ca="1">SUMIFS($B43:$BI43,$B$4:$BI$4,"&lt;=12")</f>
        <v>21596.56818605242</v>
      </c>
      <c r="BL43" s="31">
        <f ca="1">SUMIFS($B43:$BI43,$B$4:$BI$4,"&lt;=24",$B$4:$BI$4,"&gt;12")</f>
        <v>21329.511010869461</v>
      </c>
      <c r="BM43" s="31">
        <f ca="1">SUMIFS($B43:$BI43,$B$4:$BI$4,"&lt;=36",$B$4:$BI$4,"&gt;24")</f>
        <v>20694.743922572881</v>
      </c>
      <c r="BN43" s="31">
        <f ca="1">SUMIFS($B43:$BI43,$B$4:$BI$4,"&lt;=48",$B$4:$BI$4,"&gt;36")</f>
        <v>21078.406823406352</v>
      </c>
      <c r="BO43" s="31">
        <f ca="1">SUMIFS($B43:$BI43,$B$4:$BI$4,"&lt;=60",$B$4:$BI$4,"&gt;48")</f>
        <v>20060.499031252282</v>
      </c>
    </row>
    <row r="44" spans="1:67" ht="13.4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9"/>
      <c r="BJ44" s="19">
        <f>A44</f>
        <v>0</v>
      </c>
      <c r="BK44" s="6"/>
      <c r="BL44" s="6"/>
      <c r="BM44" s="6"/>
      <c r="BN44" s="6"/>
      <c r="BO44" s="6"/>
    </row>
    <row r="45" spans="1:67" ht="13.4" customHeight="1">
      <c r="A45" s="108" t="str">
        <f>'Assumption Table'!B42</f>
        <v>5. Commission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9"/>
      <c r="BJ45" s="109" t="str">
        <f>A45</f>
        <v>5. Commission</v>
      </c>
      <c r="BK45" s="6"/>
      <c r="BL45" s="6"/>
      <c r="BM45" s="6"/>
      <c r="BN45" s="6"/>
      <c r="BO45" s="6"/>
    </row>
    <row r="46" spans="1:67" ht="13.4" customHeight="1">
      <c r="A46" s="6" t="s">
        <v>233</v>
      </c>
      <c r="B46" s="111">
        <f ca="1">ROUND(MAX(0,IF(B47=0,0, NORMINV(RAND(),B47,'Assumption Table'!$C$45))),0)</f>
        <v>100</v>
      </c>
      <c r="C46" s="111">
        <f ca="1">ROUND(MAX(0,IF(C47=0,0, NORMINV(RAND(),C47,'Assumption Table'!$C$45))),0)</f>
        <v>105</v>
      </c>
      <c r="D46" s="111">
        <f ca="1">ROUND(MAX(0,IF(D47=0,0, NORMINV(RAND(),D47,'Assumption Table'!$C$45))),0)</f>
        <v>110</v>
      </c>
      <c r="E46" s="111">
        <f ca="1">ROUND(MAX(0,IF(E47=0,0, NORMINV(RAND(),E47,'Assumption Table'!$C$45))),0)</f>
        <v>116</v>
      </c>
      <c r="F46" s="111">
        <f ca="1">ROUND(MAX(0,IF(F47=0,0, NORMINV(RAND(),F47,'Assumption Table'!$C$45))),0)</f>
        <v>121</v>
      </c>
      <c r="G46" s="111">
        <f ca="1">ROUND(MAX(0,IF(G47=0,0, NORMINV(RAND(),G47,'Assumption Table'!$C$45))),0)</f>
        <v>128</v>
      </c>
      <c r="H46" s="111">
        <f ca="1">ROUND(MAX(0,IF(H47=0,0, NORMINV(RAND(),H47,'Assumption Table'!$C$45))),0)</f>
        <v>134</v>
      </c>
      <c r="I46" s="111">
        <f ca="1">ROUND(MAX(0,IF(I47=0,0, NORMINV(RAND(),I47,'Assumption Table'!$C$45))),0)</f>
        <v>141</v>
      </c>
      <c r="J46" s="111">
        <f ca="1">ROUND(MAX(0,IF(J47=0,0, NORMINV(RAND(),J47,'Assumption Table'!$C$45))),0)</f>
        <v>148</v>
      </c>
      <c r="K46" s="111">
        <f ca="1">ROUND(MAX(0,IF(K47=0,0, NORMINV(RAND(),K47,'Assumption Table'!$C$45))),0)</f>
        <v>155</v>
      </c>
      <c r="L46" s="111">
        <f ca="1">ROUND(MAX(0,IF(L47=0,0, NORMINV(RAND(),L47,'Assumption Table'!$C$45))),0)</f>
        <v>163</v>
      </c>
      <c r="M46" s="111">
        <f ca="1">ROUND(MAX(0,IF(M47=0,0, NORMINV(RAND(),M47,'Assumption Table'!$C$45))),0)</f>
        <v>171</v>
      </c>
      <c r="N46" s="111">
        <f ca="1">ROUND(MAX(0,IF(N47=0,0, NORMINV(RAND(),N47,'Assumption Table'!$C$45))),0)</f>
        <v>179</v>
      </c>
      <c r="O46" s="111">
        <f ca="1">ROUND(MAX(0,IF(O47=0,0, NORMINV(RAND(),O47,'Assumption Table'!$C$45))),0)</f>
        <v>189</v>
      </c>
      <c r="P46" s="111">
        <f ca="1">ROUND(MAX(0,IF(P47=0,0, NORMINV(RAND(),P47,'Assumption Table'!$C$45))),0)</f>
        <v>198</v>
      </c>
      <c r="Q46" s="111">
        <f ca="1">ROUND(MAX(0,IF(Q47=0,0, NORMINV(RAND(),Q47,'Assumption Table'!$C$45))),0)</f>
        <v>208</v>
      </c>
      <c r="R46" s="111">
        <f ca="1">ROUND(MAX(0,IF(R47=0,0, NORMINV(RAND(),R47,'Assumption Table'!$C$45))),0)</f>
        <v>218</v>
      </c>
      <c r="S46" s="111">
        <f ca="1">ROUND(MAX(0,IF(S47=0,0, NORMINV(RAND(),S47,'Assumption Table'!$C$45))),0)</f>
        <v>229</v>
      </c>
      <c r="T46" s="111">
        <f ca="1">ROUND(MAX(0,IF(T47=0,0, NORMINV(RAND(),T47,'Assumption Table'!$C$45))),0)</f>
        <v>241</v>
      </c>
      <c r="U46" s="111">
        <f ca="1">ROUND(MAX(0,IF(U47=0,0, NORMINV(RAND(),U47,'Assumption Table'!$C$45))),0)</f>
        <v>253</v>
      </c>
      <c r="V46" s="111">
        <f ca="1">ROUND(MAX(0,IF(V47=0,0, NORMINV(RAND(),V47,'Assumption Table'!$C$45))),0)</f>
        <v>265</v>
      </c>
      <c r="W46" s="111">
        <f ca="1">ROUND(MAX(0,IF(W47=0,0, NORMINV(RAND(),W47,'Assumption Table'!$C$45))),0)</f>
        <v>279</v>
      </c>
      <c r="X46" s="111">
        <f ca="1">ROUND(MAX(0,IF(X47=0,0, NORMINV(RAND(),X47,'Assumption Table'!$C$45))),0)</f>
        <v>293</v>
      </c>
      <c r="Y46" s="111">
        <f ca="1">ROUND(MAX(0,IF(Y47=0,0, NORMINV(RAND(),Y47,'Assumption Table'!$C$45))),0)</f>
        <v>307</v>
      </c>
      <c r="Z46" s="111">
        <f ca="1">ROUND(MAX(0,IF(Z47=0,0, NORMINV(RAND(),Z47,'Assumption Table'!$C$45))),0)</f>
        <v>322</v>
      </c>
      <c r="AA46" s="111">
        <f ca="1">ROUND(MAX(0,IF(AA47=0,0, NORMINV(RAND(),AA47,'Assumption Table'!$C$45))),0)</f>
        <v>339</v>
      </c>
      <c r="AB46" s="111">
        <f ca="1">ROUND(MAX(0,IF(AB47=0,0, NORMINV(RAND(),AB47,'Assumption Table'!$C$45))),0)</f>
        <v>356</v>
      </c>
      <c r="AC46" s="111">
        <f ca="1">ROUND(MAX(0,IF(AC47=0,0, NORMINV(RAND(),AC47,'Assumption Table'!$C$45))),0)</f>
        <v>373</v>
      </c>
      <c r="AD46" s="111">
        <f ca="1">ROUND(MAX(0,IF(AD47=0,0, NORMINV(RAND(),AD47,'Assumption Table'!$C$45))),0)</f>
        <v>392</v>
      </c>
      <c r="AE46" s="111">
        <f ca="1">ROUND(MAX(0,IF(AE47=0,0, NORMINV(RAND(),AE47,'Assumption Table'!$C$45))),0)</f>
        <v>412</v>
      </c>
      <c r="AF46" s="111">
        <f ca="1">ROUND(MAX(0,IF(AF47=0,0, NORMINV(RAND(),AF47,'Assumption Table'!$C$45))),0)</f>
        <v>432</v>
      </c>
      <c r="AG46" s="111">
        <f ca="1">ROUND(MAX(0,IF(AG47=0,0, NORMINV(RAND(),AG47,'Assumption Table'!$C$45))),0)</f>
        <v>454</v>
      </c>
      <c r="AH46" s="111">
        <f ca="1">ROUND(MAX(0,IF(AH47=0,0, NORMINV(RAND(),AH47,'Assumption Table'!$C$45))),0)</f>
        <v>477</v>
      </c>
      <c r="AI46" s="111">
        <f ca="1">ROUND(MAX(0,IF(AI47=0,0, NORMINV(RAND(),AI47,'Assumption Table'!$C$45))),0)</f>
        <v>500</v>
      </c>
      <c r="AJ46" s="111">
        <f ca="1">ROUND(MAX(0,IF(AJ47=0,0, NORMINV(RAND(),AJ47,'Assumption Table'!$C$45))),0)</f>
        <v>525</v>
      </c>
      <c r="AK46" s="111">
        <f ca="1">ROUND(MAX(0,IF(AK47=0,0, NORMINV(RAND(),AK47,'Assumption Table'!$C$45))),0)</f>
        <v>552</v>
      </c>
      <c r="AL46" s="111">
        <f ca="1">ROUND(MAX(0,IF(AL47=0,0, NORMINV(RAND(),AL47,'Assumption Table'!$C$45))),0)</f>
        <v>579</v>
      </c>
      <c r="AM46" s="111">
        <f ca="1">ROUND(MAX(0,IF(AM47=0,0, NORMINV(RAND(),AM47,'Assumption Table'!$C$45))),0)</f>
        <v>608</v>
      </c>
      <c r="AN46" s="111">
        <f ca="1">ROUND(MAX(0,IF(AN47=0,0, NORMINV(RAND(),AN47,'Assumption Table'!$C$45))),0)</f>
        <v>639</v>
      </c>
      <c r="AO46" s="111">
        <f ca="1">ROUND(MAX(0,IF(AO47=0,0, NORMINV(RAND(),AO47,'Assumption Table'!$C$45))),0)</f>
        <v>671</v>
      </c>
      <c r="AP46" s="111">
        <f ca="1">ROUND(MAX(0,IF(AP47=0,0, NORMINV(RAND(),AP47,'Assumption Table'!$C$45))),0)</f>
        <v>704</v>
      </c>
      <c r="AQ46" s="111">
        <f ca="1">ROUND(MAX(0,IF(AQ47=0,0, NORMINV(RAND(),AQ47,'Assumption Table'!$C$45))),0)</f>
        <v>739</v>
      </c>
      <c r="AR46" s="111">
        <f ca="1">ROUND(MAX(0,IF(AR47=0,0, NORMINV(RAND(),AR47,'Assumption Table'!$C$45))),0)</f>
        <v>776</v>
      </c>
      <c r="AS46" s="111">
        <f ca="1">ROUND(MAX(0,IF(AS47=0,0, NORMINV(RAND(),AS47,'Assumption Table'!$C$45))),0)</f>
        <v>815</v>
      </c>
      <c r="AT46" s="111">
        <f ca="1">ROUND(MAX(0,IF(AT47=0,0, NORMINV(RAND(),AT47,'Assumption Table'!$C$45))),0)</f>
        <v>856</v>
      </c>
      <c r="AU46" s="111">
        <f ca="1">ROUND(MAX(0,IF(AU47=0,0, NORMINV(RAND(),AU47,'Assumption Table'!$C$45))),0)</f>
        <v>898</v>
      </c>
      <c r="AV46" s="111">
        <f ca="1">ROUND(MAX(0,IF(AV47=0,0, NORMINV(RAND(),AV47,'Assumption Table'!$C$45))),0)</f>
        <v>943</v>
      </c>
      <c r="AW46" s="111">
        <f ca="1">ROUND(MAX(0,IF(AW47=0,0, NORMINV(RAND(),AW47,'Assumption Table'!$C$45))),0)</f>
        <v>991</v>
      </c>
      <c r="AX46" s="111">
        <f ca="1">ROUND(MAX(0,IF(AX47=0,0, NORMINV(RAND(),AX47,'Assumption Table'!$C$45))),0)</f>
        <v>1040</v>
      </c>
      <c r="AY46" s="111">
        <f ca="1">ROUND(MAX(0,IF(AY47=0,0, NORMINV(RAND(),AY47,'Assumption Table'!$C$45))),0)</f>
        <v>1092</v>
      </c>
      <c r="AZ46" s="111">
        <f ca="1">ROUND(MAX(0,IF(AZ47=0,0, NORMINV(RAND(),AZ47,'Assumption Table'!$C$45))),0)</f>
        <v>1147</v>
      </c>
      <c r="BA46" s="111">
        <f ca="1">ROUND(MAX(0,IF(BA47=0,0, NORMINV(RAND(),BA47,'Assumption Table'!$C$45))),0)</f>
        <v>1204</v>
      </c>
      <c r="BB46" s="111">
        <f ca="1">ROUND(MAX(0,IF(BB47=0,0, NORMINV(RAND(),BB47,'Assumption Table'!$C$45))),0)</f>
        <v>1264</v>
      </c>
      <c r="BC46" s="111">
        <f ca="1">ROUND(MAX(0,IF(BC47=0,0, NORMINV(RAND(),BC47,'Assumption Table'!$C$45))),0)</f>
        <v>1328</v>
      </c>
      <c r="BD46" s="111">
        <f ca="1">ROUND(MAX(0,IF(BD47=0,0, NORMINV(RAND(),BD47,'Assumption Table'!$C$45))),0)</f>
        <v>1394</v>
      </c>
      <c r="BE46" s="111">
        <f ca="1">ROUND(MAX(0,IF(BE47=0,0, NORMINV(RAND(),BE47,'Assumption Table'!$C$45))),0)</f>
        <v>1464</v>
      </c>
      <c r="BF46" s="111">
        <f ca="1">ROUND(MAX(0,IF(BF47=0,0, NORMINV(RAND(),BF47,'Assumption Table'!$C$45))),0)</f>
        <v>1537</v>
      </c>
      <c r="BG46" s="111">
        <f ca="1">ROUND(MAX(0,IF(BG47=0,0, NORMINV(RAND(),BG47,'Assumption Table'!$C$45))),0)</f>
        <v>1614</v>
      </c>
      <c r="BH46" s="111">
        <f ca="1">ROUND(MAX(0,IF(BH47=0,0, NORMINV(RAND(),BH47,'Assumption Table'!$C$45))),0)</f>
        <v>1694</v>
      </c>
      <c r="BI46" s="112">
        <f ca="1">ROUND(MAX(0,IF(BI47=0,0, NORMINV(RAND(),BI47,'Assumption Table'!$C$45))),0)</f>
        <v>1779</v>
      </c>
      <c r="BJ46" s="19" t="str">
        <f>A46</f>
        <v># of Transactions</v>
      </c>
      <c r="BK46" s="111">
        <f ca="1">SUMIFS($B46:$BI46,$B$4:$BI$4,"&lt;=12")</f>
        <v>1592</v>
      </c>
      <c r="BL46" s="111">
        <f ca="1">SUMIFS($B46:$BI46,$B$4:$BI$4,"&lt;=24",$B$4:$BI$4,"&gt;12")</f>
        <v>2859</v>
      </c>
      <c r="BM46" s="111">
        <f ca="1">SUMIFS($B46:$BI46,$B$4:$BI$4,"&lt;=36",$B$4:$BI$4,"&gt;24")</f>
        <v>5134</v>
      </c>
      <c r="BN46" s="111">
        <f ca="1">SUMIFS($B46:$BI46,$B$4:$BI$4,"&lt;=48",$B$4:$BI$4,"&gt;36")</f>
        <v>9219</v>
      </c>
      <c r="BO46" s="111">
        <f ca="1">SUMIFS($B46:$BI46,$B$4:$BI$4,"&lt;=60",$B$4:$BI$4,"&gt;48")</f>
        <v>16557</v>
      </c>
    </row>
    <row r="47" spans="1:67" ht="13.4" customHeight="1">
      <c r="A47" s="98" t="s">
        <v>7</v>
      </c>
      <c r="B47" s="111">
        <f>'Assumption Table'!$C$44*(1+'Assumption Table'!$C$46)^(B17-1)</f>
        <v>100</v>
      </c>
      <c r="C47" s="111">
        <f>'Assumption Table'!$C$44*(1+'Assumption Table'!$C$46)^(C17-1)</f>
        <v>105</v>
      </c>
      <c r="D47" s="111">
        <f>'Assumption Table'!$C$44*(1+'Assumption Table'!$C$46)^(D17-1)</f>
        <v>110.25</v>
      </c>
      <c r="E47" s="111">
        <f>'Assumption Table'!$C$44*(1+'Assumption Table'!$C$46)^(E17-1)</f>
        <v>115.76250000000002</v>
      </c>
      <c r="F47" s="111">
        <f>'Assumption Table'!$C$44*(1+'Assumption Table'!$C$46)^(F17-1)</f>
        <v>121.550625</v>
      </c>
      <c r="G47" s="111">
        <f>'Assumption Table'!$C$44*(1+'Assumption Table'!$C$46)^(G17-1)</f>
        <v>127.62815625000002</v>
      </c>
      <c r="H47" s="111">
        <f>'Assumption Table'!$C$44*(1+'Assumption Table'!$C$46)^(H17-1)</f>
        <v>134.0095640625</v>
      </c>
      <c r="I47" s="111">
        <f>'Assumption Table'!$C$44*(1+'Assumption Table'!$C$46)^(I17-1)</f>
        <v>140.71004226562502</v>
      </c>
      <c r="J47" s="111">
        <f>'Assumption Table'!$C$44*(1+'Assumption Table'!$C$46)^(J17-1)</f>
        <v>147.74554437890626</v>
      </c>
      <c r="K47" s="111">
        <f>'Assumption Table'!$C$44*(1+'Assumption Table'!$C$46)^(K17-1)</f>
        <v>155.13282159785157</v>
      </c>
      <c r="L47" s="111">
        <f>'Assumption Table'!$C$44*(1+'Assumption Table'!$C$46)^(L17-1)</f>
        <v>162.88946267774415</v>
      </c>
      <c r="M47" s="111">
        <f>'Assumption Table'!$C$44*(1+'Assumption Table'!$C$46)^(M17-1)</f>
        <v>171.03393581163138</v>
      </c>
      <c r="N47" s="111">
        <f>'Assumption Table'!$C$44*(1+'Assumption Table'!$C$46)^(N17-1)</f>
        <v>179.58563260221291</v>
      </c>
      <c r="O47" s="111">
        <f>'Assumption Table'!$C$44*(1+'Assumption Table'!$C$46)^(O17-1)</f>
        <v>188.56491423232359</v>
      </c>
      <c r="P47" s="111">
        <f>'Assumption Table'!$C$44*(1+'Assumption Table'!$C$46)^(P17-1)</f>
        <v>197.99315994393973</v>
      </c>
      <c r="Q47" s="111">
        <f>'Assumption Table'!$C$44*(1+'Assumption Table'!$C$46)^(Q17-1)</f>
        <v>207.8928179411368</v>
      </c>
      <c r="R47" s="111">
        <f>'Assumption Table'!$C$44*(1+'Assumption Table'!$C$46)^(R17-1)</f>
        <v>218.2874588381936</v>
      </c>
      <c r="S47" s="111">
        <f>'Assumption Table'!$C$44*(1+'Assumption Table'!$C$46)^(S17-1)</f>
        <v>229.2018317801033</v>
      </c>
      <c r="T47" s="111">
        <f>'Assumption Table'!$C$44*(1+'Assumption Table'!$C$46)^(T17-1)</f>
        <v>240.66192336910848</v>
      </c>
      <c r="U47" s="111">
        <f>'Assumption Table'!$C$44*(1+'Assumption Table'!$C$46)^(U17-1)</f>
        <v>252.69501953756389</v>
      </c>
      <c r="V47" s="111">
        <f>'Assumption Table'!$C$44*(1+'Assumption Table'!$C$46)^(V17-1)</f>
        <v>265.32977051444209</v>
      </c>
      <c r="W47" s="111">
        <f>'Assumption Table'!$C$44*(1+'Assumption Table'!$C$46)^(W17-1)</f>
        <v>278.59625904016417</v>
      </c>
      <c r="X47" s="111">
        <f>'Assumption Table'!$C$44*(1+'Assumption Table'!$C$46)^(X17-1)</f>
        <v>292.52607199217238</v>
      </c>
      <c r="Y47" s="111">
        <f>'Assumption Table'!$C$44*(1+'Assumption Table'!$C$46)^(Y17-1)</f>
        <v>307.15237559178104</v>
      </c>
      <c r="Z47" s="111">
        <f>'Assumption Table'!$C$44*(1+'Assumption Table'!$C$46)^(Z17-1)</f>
        <v>322.50999437137006</v>
      </c>
      <c r="AA47" s="111">
        <f>'Assumption Table'!$C$44*(1+'Assumption Table'!$C$46)^(AA17-1)</f>
        <v>338.63549408993856</v>
      </c>
      <c r="AB47" s="111">
        <f>'Assumption Table'!$C$44*(1+'Assumption Table'!$C$46)^(AB17-1)</f>
        <v>355.56726879443551</v>
      </c>
      <c r="AC47" s="111">
        <f>'Assumption Table'!$C$44*(1+'Assumption Table'!$C$46)^(AC17-1)</f>
        <v>373.34563223415734</v>
      </c>
      <c r="AD47" s="111">
        <f>'Assumption Table'!$C$44*(1+'Assumption Table'!$C$46)^(AD17-1)</f>
        <v>392.01291384586511</v>
      </c>
      <c r="AE47" s="111">
        <f>'Assumption Table'!$C$44*(1+'Assumption Table'!$C$46)^(AE17-1)</f>
        <v>411.61355953815848</v>
      </c>
      <c r="AF47" s="111">
        <f>'Assumption Table'!$C$44*(1+'Assumption Table'!$C$46)^(AF17-1)</f>
        <v>432.19423751506622</v>
      </c>
      <c r="AG47" s="111">
        <f>'Assumption Table'!$C$44*(1+'Assumption Table'!$C$46)^(AG17-1)</f>
        <v>453.80394939081975</v>
      </c>
      <c r="AH47" s="111">
        <f>'Assumption Table'!$C$44*(1+'Assumption Table'!$C$46)^(AH17-1)</f>
        <v>476.49414686036067</v>
      </c>
      <c r="AI47" s="111">
        <f>'Assumption Table'!$C$44*(1+'Assumption Table'!$C$46)^(AI17-1)</f>
        <v>500.31885420337875</v>
      </c>
      <c r="AJ47" s="111">
        <f>'Assumption Table'!$C$44*(1+'Assumption Table'!$C$46)^(AJ17-1)</f>
        <v>525.33479691354762</v>
      </c>
      <c r="AK47" s="111">
        <f>'Assumption Table'!$C$44*(1+'Assumption Table'!$C$46)^(AK17-1)</f>
        <v>551.60153675922516</v>
      </c>
      <c r="AL47" s="111">
        <f>'Assumption Table'!$C$44*(1+'Assumption Table'!$C$46)^(AL17-1)</f>
        <v>579.18161359718624</v>
      </c>
      <c r="AM47" s="111">
        <f>'Assumption Table'!$C$44*(1+'Assumption Table'!$C$46)^(AM17-1)</f>
        <v>608.14069427704567</v>
      </c>
      <c r="AN47" s="111">
        <f>'Assumption Table'!$C$44*(1+'Assumption Table'!$C$46)^(AN17-1)</f>
        <v>638.54772899089789</v>
      </c>
      <c r="AO47" s="111">
        <f>'Assumption Table'!$C$44*(1+'Assumption Table'!$C$46)^(AO17-1)</f>
        <v>670.47511544044289</v>
      </c>
      <c r="AP47" s="111">
        <f>'Assumption Table'!$C$44*(1+'Assumption Table'!$C$46)^(AP17-1)</f>
        <v>703.99887121246491</v>
      </c>
      <c r="AQ47" s="111">
        <f>'Assumption Table'!$C$44*(1+'Assumption Table'!$C$46)^(AQ17-1)</f>
        <v>739.1988147730882</v>
      </c>
      <c r="AR47" s="111">
        <f>'Assumption Table'!$C$44*(1+'Assumption Table'!$C$46)^(AR17-1)</f>
        <v>776.15875551174258</v>
      </c>
      <c r="AS47" s="111">
        <f>'Assumption Table'!$C$44*(1+'Assumption Table'!$C$46)^(AS17-1)</f>
        <v>814.9666932873298</v>
      </c>
      <c r="AT47" s="111">
        <f>'Assumption Table'!$C$44*(1+'Assumption Table'!$C$46)^(AT17-1)</f>
        <v>855.71502795169624</v>
      </c>
      <c r="AU47" s="111">
        <f>'Assumption Table'!$C$44*(1+'Assumption Table'!$C$46)^(AU17-1)</f>
        <v>898.50077934928117</v>
      </c>
      <c r="AV47" s="111">
        <f>'Assumption Table'!$C$44*(1+'Assumption Table'!$C$46)^(AV17-1)</f>
        <v>943.42581831674511</v>
      </c>
      <c r="AW47" s="111">
        <f>'Assumption Table'!$C$44*(1+'Assumption Table'!$C$46)^(AW17-1)</f>
        <v>990.59710923258262</v>
      </c>
      <c r="AX47" s="111">
        <f>'Assumption Table'!$C$44*(1+'Assumption Table'!$C$46)^(AX17-1)</f>
        <v>1040.1269646942117</v>
      </c>
      <c r="AY47" s="111">
        <f>'Assumption Table'!$C$44*(1+'Assumption Table'!$C$46)^(AY17-1)</f>
        <v>1092.1333129289224</v>
      </c>
      <c r="AZ47" s="111">
        <f>'Assumption Table'!$C$44*(1+'Assumption Table'!$C$46)^(AZ17-1)</f>
        <v>1146.7399785753685</v>
      </c>
      <c r="BA47" s="111">
        <f>'Assumption Table'!$C$44*(1+'Assumption Table'!$C$46)^(BA17-1)</f>
        <v>1204.0769775041369</v>
      </c>
      <c r="BB47" s="111">
        <f>'Assumption Table'!$C$44*(1+'Assumption Table'!$C$46)^(BB17-1)</f>
        <v>1264.2808263793438</v>
      </c>
      <c r="BC47" s="111">
        <f>'Assumption Table'!$C$44*(1+'Assumption Table'!$C$46)^(BC17-1)</f>
        <v>1327.4948676983108</v>
      </c>
      <c r="BD47" s="111">
        <f>'Assumption Table'!$C$44*(1+'Assumption Table'!$C$46)^(BD17-1)</f>
        <v>1393.8696110832263</v>
      </c>
      <c r="BE47" s="111">
        <f>'Assumption Table'!$C$44*(1+'Assumption Table'!$C$46)^(BE17-1)</f>
        <v>1463.563091637388</v>
      </c>
      <c r="BF47" s="111">
        <f>'Assumption Table'!$C$44*(1+'Assumption Table'!$C$46)^(BF17-1)</f>
        <v>1536.7412462192569</v>
      </c>
      <c r="BG47" s="111">
        <f>'Assumption Table'!$C$44*(1+'Assumption Table'!$C$46)^(BG17-1)</f>
        <v>1613.5783085302201</v>
      </c>
      <c r="BH47" s="111">
        <f>'Assumption Table'!$C$44*(1+'Assumption Table'!$C$46)^(BH17-1)</f>
        <v>1694.2572239567312</v>
      </c>
      <c r="BI47" s="112">
        <f>'Assumption Table'!$C$44*(1+'Assumption Table'!$C$46)^(BI17-1)</f>
        <v>1778.9700851545679</v>
      </c>
      <c r="BJ47" s="19"/>
      <c r="BK47" s="111"/>
      <c r="BL47" s="111"/>
      <c r="BM47" s="111"/>
      <c r="BN47" s="111"/>
      <c r="BO47" s="111"/>
    </row>
    <row r="48" spans="1:67" ht="13.4" customHeight="1">
      <c r="A48" s="22" t="s">
        <v>234</v>
      </c>
      <c r="B48" s="27">
        <f ca="1">B46*'Assumption Table'!$C$47*'Assumption Table'!$C$50</f>
        <v>2000</v>
      </c>
      <c r="C48" s="27">
        <f ca="1">C46*'Assumption Table'!$C$47*'Assumption Table'!$C$50</f>
        <v>2100</v>
      </c>
      <c r="D48" s="27">
        <f ca="1">D46*'Assumption Table'!$C$47*'Assumption Table'!$C$50</f>
        <v>2200</v>
      </c>
      <c r="E48" s="27">
        <f ca="1">E46*'Assumption Table'!$C$47*'Assumption Table'!$C$50</f>
        <v>2320</v>
      </c>
      <c r="F48" s="27">
        <f ca="1">F46*'Assumption Table'!$C$47*'Assumption Table'!$C$50</f>
        <v>2420</v>
      </c>
      <c r="G48" s="27">
        <f ca="1">G46*'Assumption Table'!$C$47*'Assumption Table'!$C$50</f>
        <v>2560</v>
      </c>
      <c r="H48" s="27">
        <f ca="1">H46*'Assumption Table'!$C$47*'Assumption Table'!$C$50</f>
        <v>2680</v>
      </c>
      <c r="I48" s="27">
        <f ca="1">I46*'Assumption Table'!$C$47*'Assumption Table'!$C$50</f>
        <v>2820</v>
      </c>
      <c r="J48" s="27">
        <f ca="1">J46*'Assumption Table'!$C$47*'Assumption Table'!$C$50</f>
        <v>2960</v>
      </c>
      <c r="K48" s="27">
        <f ca="1">K46*'Assumption Table'!$C$47*'Assumption Table'!$C$50</f>
        <v>3100</v>
      </c>
      <c r="L48" s="27">
        <f ca="1">L46*'Assumption Table'!$C$47*'Assumption Table'!$C$50</f>
        <v>3260</v>
      </c>
      <c r="M48" s="27">
        <f ca="1">M46*'Assumption Table'!$C$47*'Assumption Table'!$C$50</f>
        <v>3420</v>
      </c>
      <c r="N48" s="27">
        <f ca="1">N46*'Assumption Table'!$C$47*'Assumption Table'!$C$50</f>
        <v>3580</v>
      </c>
      <c r="O48" s="27">
        <f ca="1">O46*'Assumption Table'!$C$47*'Assumption Table'!$C$50</f>
        <v>3780</v>
      </c>
      <c r="P48" s="27">
        <f ca="1">P46*'Assumption Table'!$C$47*'Assumption Table'!$C$50</f>
        <v>3960</v>
      </c>
      <c r="Q48" s="27">
        <f ca="1">Q46*'Assumption Table'!$C$47*'Assumption Table'!$C$50</f>
        <v>4160</v>
      </c>
      <c r="R48" s="27">
        <f ca="1">R46*'Assumption Table'!$C$47*'Assumption Table'!$C$50</f>
        <v>4360</v>
      </c>
      <c r="S48" s="27">
        <f ca="1">S46*'Assumption Table'!$C$47*'Assumption Table'!$C$50</f>
        <v>4580</v>
      </c>
      <c r="T48" s="27">
        <f ca="1">T46*'Assumption Table'!$C$47*'Assumption Table'!$C$50</f>
        <v>4820</v>
      </c>
      <c r="U48" s="27">
        <f ca="1">U46*'Assumption Table'!$C$47*'Assumption Table'!$C$50</f>
        <v>5060</v>
      </c>
      <c r="V48" s="27">
        <f ca="1">V46*'Assumption Table'!$C$47*'Assumption Table'!$C$50</f>
        <v>5300</v>
      </c>
      <c r="W48" s="27">
        <f ca="1">W46*'Assumption Table'!$C$47*'Assumption Table'!$C$50</f>
        <v>5580</v>
      </c>
      <c r="X48" s="27">
        <f ca="1">X46*'Assumption Table'!$C$47*'Assumption Table'!$C$50</f>
        <v>5860</v>
      </c>
      <c r="Y48" s="27">
        <f ca="1">Y46*'Assumption Table'!$C$47*'Assumption Table'!$C$50</f>
        <v>6140</v>
      </c>
      <c r="Z48" s="27">
        <f ca="1">Z46*'Assumption Table'!$C$47*'Assumption Table'!$C$50</f>
        <v>6440</v>
      </c>
      <c r="AA48" s="27">
        <f ca="1">AA46*'Assumption Table'!$C$47*'Assumption Table'!$C$50</f>
        <v>6780</v>
      </c>
      <c r="AB48" s="27">
        <f ca="1">AB46*'Assumption Table'!$C$47*'Assumption Table'!$C$50</f>
        <v>7120</v>
      </c>
      <c r="AC48" s="27">
        <f ca="1">AC46*'Assumption Table'!$C$47*'Assumption Table'!$C$50</f>
        <v>7460</v>
      </c>
      <c r="AD48" s="27">
        <f ca="1">AD46*'Assumption Table'!$C$47*'Assumption Table'!$C$50</f>
        <v>7840</v>
      </c>
      <c r="AE48" s="27">
        <f ca="1">AE46*'Assumption Table'!$C$47*'Assumption Table'!$C$50</f>
        <v>8240</v>
      </c>
      <c r="AF48" s="27">
        <f ca="1">AF46*'Assumption Table'!$C$47*'Assumption Table'!$C$50</f>
        <v>8640</v>
      </c>
      <c r="AG48" s="27">
        <f ca="1">AG46*'Assumption Table'!$C$47*'Assumption Table'!$C$50</f>
        <v>9080</v>
      </c>
      <c r="AH48" s="27">
        <f ca="1">AH46*'Assumption Table'!$C$47*'Assumption Table'!$C$50</f>
        <v>9540</v>
      </c>
      <c r="AI48" s="27">
        <f ca="1">AI46*'Assumption Table'!$C$47*'Assumption Table'!$C$50</f>
        <v>10000</v>
      </c>
      <c r="AJ48" s="27">
        <f ca="1">AJ46*'Assumption Table'!$C$47*'Assumption Table'!$C$50</f>
        <v>10500</v>
      </c>
      <c r="AK48" s="27">
        <f ca="1">AK46*'Assumption Table'!$C$47*'Assumption Table'!$C$50</f>
        <v>11040</v>
      </c>
      <c r="AL48" s="27">
        <f ca="1">AL46*'Assumption Table'!$C$47*'Assumption Table'!$C$50</f>
        <v>11580</v>
      </c>
      <c r="AM48" s="27">
        <f ca="1">AM46*'Assumption Table'!$C$47*'Assumption Table'!$C$50</f>
        <v>12160</v>
      </c>
      <c r="AN48" s="27">
        <f ca="1">AN46*'Assumption Table'!$C$47*'Assumption Table'!$C$50</f>
        <v>12780</v>
      </c>
      <c r="AO48" s="27">
        <f ca="1">AO46*'Assumption Table'!$C$47*'Assumption Table'!$C$50</f>
        <v>13420</v>
      </c>
      <c r="AP48" s="27">
        <f ca="1">AP46*'Assumption Table'!$C$47*'Assumption Table'!$C$50</f>
        <v>14080</v>
      </c>
      <c r="AQ48" s="27">
        <f ca="1">AQ46*'Assumption Table'!$C$47*'Assumption Table'!$C$50</f>
        <v>14780</v>
      </c>
      <c r="AR48" s="27">
        <f ca="1">AR46*'Assumption Table'!$C$47*'Assumption Table'!$C$50</f>
        <v>15520</v>
      </c>
      <c r="AS48" s="27">
        <f ca="1">AS46*'Assumption Table'!$C$47*'Assumption Table'!$C$50</f>
        <v>16300</v>
      </c>
      <c r="AT48" s="27">
        <f ca="1">AT46*'Assumption Table'!$C$47*'Assumption Table'!$C$50</f>
        <v>17120</v>
      </c>
      <c r="AU48" s="27">
        <f ca="1">AU46*'Assumption Table'!$C$47*'Assumption Table'!$C$50</f>
        <v>17960</v>
      </c>
      <c r="AV48" s="27">
        <f ca="1">AV46*'Assumption Table'!$C$47*'Assumption Table'!$C$50</f>
        <v>18860</v>
      </c>
      <c r="AW48" s="27">
        <f ca="1">AW46*'Assumption Table'!$C$47*'Assumption Table'!$C$50</f>
        <v>19820</v>
      </c>
      <c r="AX48" s="27">
        <f ca="1">AX46*'Assumption Table'!$C$47*'Assumption Table'!$C$50</f>
        <v>20800</v>
      </c>
      <c r="AY48" s="27">
        <f ca="1">AY46*'Assumption Table'!$C$47*'Assumption Table'!$C$50</f>
        <v>21840</v>
      </c>
      <c r="AZ48" s="27">
        <f ca="1">AZ46*'Assumption Table'!$C$47*'Assumption Table'!$C$50</f>
        <v>22940</v>
      </c>
      <c r="BA48" s="27">
        <f ca="1">BA46*'Assumption Table'!$C$47*'Assumption Table'!$C$50</f>
        <v>24080</v>
      </c>
      <c r="BB48" s="27">
        <f ca="1">BB46*'Assumption Table'!$C$47*'Assumption Table'!$C$50</f>
        <v>25280</v>
      </c>
      <c r="BC48" s="27">
        <f ca="1">BC46*'Assumption Table'!$C$47*'Assumption Table'!$C$50</f>
        <v>26560</v>
      </c>
      <c r="BD48" s="27">
        <f ca="1">BD46*'Assumption Table'!$C$47*'Assumption Table'!$C$50</f>
        <v>27880</v>
      </c>
      <c r="BE48" s="27">
        <f ca="1">BE46*'Assumption Table'!$C$47*'Assumption Table'!$C$50</f>
        <v>29280</v>
      </c>
      <c r="BF48" s="27">
        <f ca="1">BF46*'Assumption Table'!$C$47*'Assumption Table'!$C$50</f>
        <v>30740</v>
      </c>
      <c r="BG48" s="27">
        <f ca="1">BG46*'Assumption Table'!$C$47*'Assumption Table'!$C$50</f>
        <v>32280</v>
      </c>
      <c r="BH48" s="27">
        <f ca="1">BH46*'Assumption Table'!$C$47*'Assumption Table'!$C$50</f>
        <v>33880</v>
      </c>
      <c r="BI48" s="97">
        <f ca="1">BI46*'Assumption Table'!$C$47*'Assumption Table'!$C$50</f>
        <v>35580</v>
      </c>
      <c r="BJ48" s="21" t="str">
        <f t="shared" ref="BJ48:BJ60" si="17">A48</f>
        <v>Total Revenue from Commission</v>
      </c>
      <c r="BK48" s="27">
        <f ca="1">SUMIFS($B48:$BI48,$B$4:$BI$4,"&lt;=12")</f>
        <v>31840</v>
      </c>
      <c r="BL48" s="27">
        <f ca="1">SUMIFS($B48:$BI48,$B$4:$BI$4,"&lt;=24",$B$4:$BI$4,"&gt;12")</f>
        <v>57180</v>
      </c>
      <c r="BM48" s="27">
        <f ca="1">SUMIFS($B48:$BI48,$B$4:$BI$4,"&lt;=36",$B$4:$BI$4,"&gt;24")</f>
        <v>102680</v>
      </c>
      <c r="BN48" s="27">
        <f ca="1">SUMIFS($B48:$BI48,$B$4:$BI$4,"&lt;=48",$B$4:$BI$4,"&gt;36")</f>
        <v>184380</v>
      </c>
      <c r="BO48" s="27">
        <f ca="1">SUMIFS($B48:$BI48,$B$4:$BI$4,"&lt;=60",$B$4:$BI$4,"&gt;48")</f>
        <v>331140</v>
      </c>
    </row>
    <row r="49" spans="1:67" ht="13.4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9"/>
      <c r="BJ49" s="19">
        <f t="shared" si="17"/>
        <v>0</v>
      </c>
      <c r="BK49" s="6"/>
      <c r="BL49" s="6"/>
      <c r="BM49" s="6"/>
      <c r="BN49" s="6"/>
      <c r="BO49" s="6"/>
    </row>
    <row r="50" spans="1:67" ht="13.4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7"/>
      <c r="BJ50" s="113">
        <f t="shared" si="17"/>
        <v>0</v>
      </c>
      <c r="BK50" s="36"/>
      <c r="BL50" s="36"/>
      <c r="BM50" s="36"/>
      <c r="BN50" s="36"/>
      <c r="BO50" s="36"/>
    </row>
    <row r="51" spans="1:67" ht="13.4" customHeight="1">
      <c r="A51" s="22" t="s">
        <v>235</v>
      </c>
      <c r="B51" s="27">
        <f t="shared" ref="B51:AG51" ca="1" si="18">SUM(B19,B26,B37,B43,B48)</f>
        <v>182085.63109608158</v>
      </c>
      <c r="C51" s="27">
        <f t="shared" ca="1" si="18"/>
        <v>351864.55431102088</v>
      </c>
      <c r="D51" s="27">
        <f t="shared" ca="1" si="18"/>
        <v>687132.49031233659</v>
      </c>
      <c r="E51" s="27">
        <f t="shared" ca="1" si="18"/>
        <v>482439.62193564064</v>
      </c>
      <c r="F51" s="27">
        <f t="shared" ca="1" si="18"/>
        <v>647516.93398876931</v>
      </c>
      <c r="G51" s="27">
        <f t="shared" ca="1" si="18"/>
        <v>1109791.1050954796</v>
      </c>
      <c r="H51" s="27">
        <f t="shared" ca="1" si="18"/>
        <v>1068888.1485457476</v>
      </c>
      <c r="I51" s="27">
        <f t="shared" ca="1" si="18"/>
        <v>1494151.5285152097</v>
      </c>
      <c r="J51" s="27">
        <f t="shared" ca="1" si="18"/>
        <v>1886832.2799725081</v>
      </c>
      <c r="K51" s="27">
        <f t="shared" ca="1" si="18"/>
        <v>1871626.5766750814</v>
      </c>
      <c r="L51" s="27">
        <f t="shared" ca="1" si="18"/>
        <v>2189231.1225231704</v>
      </c>
      <c r="M51" s="27">
        <f t="shared" ca="1" si="18"/>
        <v>1401808.3670834696</v>
      </c>
      <c r="N51" s="27">
        <f t="shared" ca="1" si="18"/>
        <v>2954421.567144997</v>
      </c>
      <c r="O51" s="27">
        <f t="shared" ca="1" si="18"/>
        <v>2926513.3312614663</v>
      </c>
      <c r="P51" s="27">
        <f t="shared" ca="1" si="18"/>
        <v>3611844.6359708346</v>
      </c>
      <c r="Q51" s="27">
        <f t="shared" ca="1" si="18"/>
        <v>3119229.1192094693</v>
      </c>
      <c r="R51" s="27">
        <f t="shared" ca="1" si="18"/>
        <v>3540305.3823845079</v>
      </c>
      <c r="S51" s="27">
        <f t="shared" ca="1" si="18"/>
        <v>2919528.0365793933</v>
      </c>
      <c r="T51" s="27">
        <f t="shared" ca="1" si="18"/>
        <v>3051417.2557190736</v>
      </c>
      <c r="U51" s="27">
        <f t="shared" ca="1" si="18"/>
        <v>2858335.7439790033</v>
      </c>
      <c r="V51" s="27">
        <f t="shared" ca="1" si="18"/>
        <v>4634672.9427371267</v>
      </c>
      <c r="W51" s="27">
        <f t="shared" ca="1" si="18"/>
        <v>5203108.391153465</v>
      </c>
      <c r="X51" s="27">
        <f t="shared" ca="1" si="18"/>
        <v>4872613.1118234387</v>
      </c>
      <c r="Y51" s="27">
        <f t="shared" ca="1" si="18"/>
        <v>3488311.7175100092</v>
      </c>
      <c r="Z51" s="27">
        <f t="shared" ca="1" si="18"/>
        <v>6893086.6662446931</v>
      </c>
      <c r="AA51" s="27">
        <f t="shared" ca="1" si="18"/>
        <v>5383546.5739884013</v>
      </c>
      <c r="AB51" s="27">
        <f t="shared" ca="1" si="18"/>
        <v>4847361.2316927928</v>
      </c>
      <c r="AC51" s="27">
        <f t="shared" ca="1" si="18"/>
        <v>7449094.5688335346</v>
      </c>
      <c r="AD51" s="27">
        <f t="shared" ca="1" si="18"/>
        <v>4681514.7310063094</v>
      </c>
      <c r="AE51" s="27">
        <f t="shared" ca="1" si="18"/>
        <v>8172847.7561474824</v>
      </c>
      <c r="AF51" s="27">
        <f t="shared" ca="1" si="18"/>
        <v>5313545.2396808742</v>
      </c>
      <c r="AG51" s="27">
        <f t="shared" ca="1" si="18"/>
        <v>3573014.3696628367</v>
      </c>
      <c r="AH51" s="27">
        <f t="shared" ref="AH51:BI51" ca="1" si="19">SUM(AH19,AH26,AH37,AH43,AH48)</f>
        <v>4207780.7218796425</v>
      </c>
      <c r="AI51" s="27">
        <f t="shared" ca="1" si="19"/>
        <v>6025375.9793201769</v>
      </c>
      <c r="AJ51" s="27">
        <f t="shared" ca="1" si="19"/>
        <v>12679016.012249809</v>
      </c>
      <c r="AK51" s="27">
        <f t="shared" ca="1" si="19"/>
        <v>6583046.1963055935</v>
      </c>
      <c r="AL51" s="27">
        <f t="shared" ca="1" si="19"/>
        <v>10284601.219654748</v>
      </c>
      <c r="AM51" s="27">
        <f t="shared" ca="1" si="19"/>
        <v>11184786.508164698</v>
      </c>
      <c r="AN51" s="27">
        <f t="shared" ca="1" si="19"/>
        <v>8898775.1334864143</v>
      </c>
      <c r="AO51" s="27">
        <f t="shared" ca="1" si="19"/>
        <v>4270197.1105757197</v>
      </c>
      <c r="AP51" s="27">
        <f t="shared" ca="1" si="19"/>
        <v>5285775.4110959452</v>
      </c>
      <c r="AQ51" s="27">
        <f t="shared" ca="1" si="19"/>
        <v>7862507.7576071043</v>
      </c>
      <c r="AR51" s="27">
        <f t="shared" ca="1" si="19"/>
        <v>4910344.4390497701</v>
      </c>
      <c r="AS51" s="27">
        <f t="shared" ca="1" si="19"/>
        <v>11104292.511727808</v>
      </c>
      <c r="AT51" s="27">
        <f t="shared" ca="1" si="19"/>
        <v>11418602.453849977</v>
      </c>
      <c r="AU51" s="27">
        <f t="shared" ca="1" si="19"/>
        <v>10331774.495193368</v>
      </c>
      <c r="AV51" s="27">
        <f t="shared" ca="1" si="19"/>
        <v>11326336.829047099</v>
      </c>
      <c r="AW51" s="27">
        <f t="shared" ca="1" si="19"/>
        <v>12518262.834220627</v>
      </c>
      <c r="AX51" s="27">
        <f t="shared" ca="1" si="19"/>
        <v>11212244.572436722</v>
      </c>
      <c r="AY51" s="27">
        <f t="shared" ca="1" si="19"/>
        <v>8942143.3745235503</v>
      </c>
      <c r="AZ51" s="27">
        <f t="shared" ca="1" si="19"/>
        <v>12612579.771604098</v>
      </c>
      <c r="BA51" s="27">
        <f t="shared" ca="1" si="19"/>
        <v>8108997.2623663293</v>
      </c>
      <c r="BB51" s="27">
        <f t="shared" ca="1" si="19"/>
        <v>11108361.828860372</v>
      </c>
      <c r="BC51" s="27">
        <f t="shared" ca="1" si="19"/>
        <v>16054816.570826832</v>
      </c>
      <c r="BD51" s="27">
        <f t="shared" ca="1" si="19"/>
        <v>16065894.416481972</v>
      </c>
      <c r="BE51" s="27">
        <f t="shared" ca="1" si="19"/>
        <v>21361807.492970847</v>
      </c>
      <c r="BF51" s="27">
        <f t="shared" ca="1" si="19"/>
        <v>21321908.376086652</v>
      </c>
      <c r="BG51" s="27">
        <f t="shared" ca="1" si="19"/>
        <v>19234005.941693824</v>
      </c>
      <c r="BH51" s="27">
        <f t="shared" ca="1" si="19"/>
        <v>11242117.385854686</v>
      </c>
      <c r="BI51" s="97">
        <f t="shared" ca="1" si="19"/>
        <v>19172062.28289732</v>
      </c>
      <c r="BJ51" s="21" t="str">
        <f t="shared" si="17"/>
        <v>Total Revenue</v>
      </c>
      <c r="BK51" s="27">
        <f ca="1">SUMIFS($B51:$BI51,$B$4:$BI$4,"&lt;=12")</f>
        <v>13373368.360054515</v>
      </c>
      <c r="BL51" s="27">
        <f ca="1">SUMIFS($B51:$BI51,$B$4:$BI$4,"&lt;=24",$B$4:$BI$4,"&gt;12")</f>
        <v>43180301.235472783</v>
      </c>
      <c r="BM51" s="27">
        <f ca="1">SUMIFS($B51:$BI51,$B$4:$BI$4,"&lt;=36",$B$4:$BI$4,"&gt;24")</f>
        <v>75809230.047012135</v>
      </c>
      <c r="BN51" s="27">
        <f ca="1">SUMIFS($B51:$BI51,$B$4:$BI$4,"&lt;=48",$B$4:$BI$4,"&gt;36")</f>
        <v>109396256.70367329</v>
      </c>
      <c r="BO51" s="27">
        <f ca="1">SUMIFS($B51:$BI51,$B$4:$BI$4,"&lt;=60",$B$4:$BI$4,"&gt;48")</f>
        <v>176436939.27660319</v>
      </c>
    </row>
    <row r="52" spans="1:67" ht="13.4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4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9"/>
      <c r="BJ52" s="19">
        <f t="shared" si="17"/>
        <v>0</v>
      </c>
      <c r="BK52" s="6"/>
      <c r="BL52" s="6"/>
      <c r="BM52" s="6"/>
      <c r="BN52" s="6"/>
      <c r="BO52" s="6"/>
    </row>
    <row r="53" spans="1:67" ht="12.95" customHeight="1">
      <c r="A53" s="82" t="s">
        <v>236</v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3" t="str">
        <f t="shared" si="17"/>
        <v>Cost of Goods Sold Schedule</v>
      </c>
      <c r="BK53" s="84"/>
      <c r="BL53" s="84"/>
      <c r="BM53" s="84"/>
      <c r="BN53" s="84"/>
      <c r="BO53" s="84"/>
    </row>
    <row r="54" spans="1:67" ht="13.4" customHeight="1">
      <c r="A54" s="6"/>
      <c r="B54" s="79" t="s">
        <v>151</v>
      </c>
      <c r="C54" s="79" t="s">
        <v>152</v>
      </c>
      <c r="D54" s="79" t="s">
        <v>153</v>
      </c>
      <c r="E54" s="79" t="s">
        <v>154</v>
      </c>
      <c r="F54" s="79" t="s">
        <v>155</v>
      </c>
      <c r="G54" s="79" t="s">
        <v>156</v>
      </c>
      <c r="H54" s="79" t="s">
        <v>157</v>
      </c>
      <c r="I54" s="79" t="s">
        <v>158</v>
      </c>
      <c r="J54" s="79" t="s">
        <v>159</v>
      </c>
      <c r="K54" s="79" t="s">
        <v>160</v>
      </c>
      <c r="L54" s="79" t="s">
        <v>161</v>
      </c>
      <c r="M54" s="79" t="s">
        <v>162</v>
      </c>
      <c r="N54" s="79" t="s">
        <v>163</v>
      </c>
      <c r="O54" s="79" t="s">
        <v>164</v>
      </c>
      <c r="P54" s="79" t="s">
        <v>165</v>
      </c>
      <c r="Q54" s="79" t="s">
        <v>166</v>
      </c>
      <c r="R54" s="79" t="s">
        <v>167</v>
      </c>
      <c r="S54" s="79" t="s">
        <v>168</v>
      </c>
      <c r="T54" s="79" t="s">
        <v>169</v>
      </c>
      <c r="U54" s="79" t="s">
        <v>170</v>
      </c>
      <c r="V54" s="79" t="s">
        <v>171</v>
      </c>
      <c r="W54" s="79" t="s">
        <v>172</v>
      </c>
      <c r="X54" s="79" t="s">
        <v>173</v>
      </c>
      <c r="Y54" s="79" t="s">
        <v>174</v>
      </c>
      <c r="Z54" s="79" t="s">
        <v>175</v>
      </c>
      <c r="AA54" s="79" t="s">
        <v>176</v>
      </c>
      <c r="AB54" s="79" t="s">
        <v>177</v>
      </c>
      <c r="AC54" s="79" t="s">
        <v>178</v>
      </c>
      <c r="AD54" s="79" t="s">
        <v>179</v>
      </c>
      <c r="AE54" s="79" t="s">
        <v>180</v>
      </c>
      <c r="AF54" s="79" t="s">
        <v>181</v>
      </c>
      <c r="AG54" s="79" t="s">
        <v>182</v>
      </c>
      <c r="AH54" s="79" t="s">
        <v>183</v>
      </c>
      <c r="AI54" s="79" t="s">
        <v>184</v>
      </c>
      <c r="AJ54" s="79" t="s">
        <v>185</v>
      </c>
      <c r="AK54" s="79" t="s">
        <v>186</v>
      </c>
      <c r="AL54" s="79" t="s">
        <v>187</v>
      </c>
      <c r="AM54" s="79" t="s">
        <v>188</v>
      </c>
      <c r="AN54" s="79" t="s">
        <v>189</v>
      </c>
      <c r="AO54" s="79" t="s">
        <v>190</v>
      </c>
      <c r="AP54" s="79" t="s">
        <v>191</v>
      </c>
      <c r="AQ54" s="79" t="s">
        <v>192</v>
      </c>
      <c r="AR54" s="79" t="s">
        <v>193</v>
      </c>
      <c r="AS54" s="79" t="s">
        <v>194</v>
      </c>
      <c r="AT54" s="79" t="s">
        <v>195</v>
      </c>
      <c r="AU54" s="79" t="s">
        <v>196</v>
      </c>
      <c r="AV54" s="79" t="s">
        <v>197</v>
      </c>
      <c r="AW54" s="79" t="s">
        <v>198</v>
      </c>
      <c r="AX54" s="79" t="s">
        <v>199</v>
      </c>
      <c r="AY54" s="79" t="s">
        <v>200</v>
      </c>
      <c r="AZ54" s="79" t="s">
        <v>201</v>
      </c>
      <c r="BA54" s="79" t="s">
        <v>202</v>
      </c>
      <c r="BB54" s="79" t="s">
        <v>203</v>
      </c>
      <c r="BC54" s="79" t="s">
        <v>204</v>
      </c>
      <c r="BD54" s="79" t="s">
        <v>205</v>
      </c>
      <c r="BE54" s="79" t="s">
        <v>206</v>
      </c>
      <c r="BF54" s="79" t="s">
        <v>207</v>
      </c>
      <c r="BG54" s="79" t="s">
        <v>208</v>
      </c>
      <c r="BH54" s="79" t="s">
        <v>209</v>
      </c>
      <c r="BI54" s="80" t="s">
        <v>210</v>
      </c>
      <c r="BJ54" s="19">
        <f t="shared" si="17"/>
        <v>0</v>
      </c>
      <c r="BK54" s="81" t="s">
        <v>151</v>
      </c>
      <c r="BL54" s="81" t="s">
        <v>152</v>
      </c>
      <c r="BM54" s="81" t="s">
        <v>153</v>
      </c>
      <c r="BN54" s="81" t="s">
        <v>154</v>
      </c>
      <c r="BO54" s="81" t="s">
        <v>155</v>
      </c>
    </row>
    <row r="55" spans="1:67" ht="13.4" customHeight="1">
      <c r="A55" s="4" t="s">
        <v>45</v>
      </c>
      <c r="B55" s="31">
        <f ca="1">B51*'Assumption Table'!$C$55</f>
        <v>5462.5689328824474</v>
      </c>
      <c r="C55" s="31">
        <f ca="1">C51*'Assumption Table'!$C$55</f>
        <v>10555.936629330627</v>
      </c>
      <c r="D55" s="31">
        <f ca="1">D51*'Assumption Table'!$C$55</f>
        <v>20613.974709370097</v>
      </c>
      <c r="E55" s="31">
        <f ca="1">E51*'Assumption Table'!$C$55</f>
        <v>14473.188658069219</v>
      </c>
      <c r="F55" s="31">
        <f ca="1">F51*'Assumption Table'!$C$55</f>
        <v>19425.508019663077</v>
      </c>
      <c r="G55" s="31">
        <f ca="1">G51*'Assumption Table'!$C$55</f>
        <v>33293.733152864384</v>
      </c>
      <c r="H55" s="31">
        <f ca="1">H51*'Assumption Table'!$C$55</f>
        <v>32066.644456372429</v>
      </c>
      <c r="I55" s="31">
        <f ca="1">I51*'Assumption Table'!$C$55</f>
        <v>44824.545855456287</v>
      </c>
      <c r="J55" s="31">
        <f ca="1">J51*'Assumption Table'!$C$55</f>
        <v>56604.968399175239</v>
      </c>
      <c r="K55" s="31">
        <f ca="1">K51*'Assumption Table'!$C$55</f>
        <v>56148.797300252438</v>
      </c>
      <c r="L55" s="31">
        <f ca="1">L51*'Assumption Table'!$C$55</f>
        <v>65676.933675695109</v>
      </c>
      <c r="M55" s="31">
        <f ca="1">M51*'Assumption Table'!$C$55</f>
        <v>42054.251012504086</v>
      </c>
      <c r="N55" s="31">
        <f ca="1">N51*'Assumption Table'!$C$55</f>
        <v>88632.647014349903</v>
      </c>
      <c r="O55" s="31">
        <f ca="1">O51*'Assumption Table'!$C$55</f>
        <v>87795.399937843991</v>
      </c>
      <c r="P55" s="31">
        <f ca="1">P51*'Assumption Table'!$C$55</f>
        <v>108355.33907912504</v>
      </c>
      <c r="Q55" s="31">
        <f ca="1">Q51*'Assumption Table'!$C$55</f>
        <v>93576.873576284081</v>
      </c>
      <c r="R55" s="31">
        <f ca="1">R51*'Assumption Table'!$C$55</f>
        <v>106209.16147153523</v>
      </c>
      <c r="S55" s="31">
        <f ca="1">S51*'Assumption Table'!$C$55</f>
        <v>87585.841097381795</v>
      </c>
      <c r="T55" s="31">
        <f ca="1">T51*'Assumption Table'!$C$55</f>
        <v>91542.517671572205</v>
      </c>
      <c r="U55" s="31">
        <f ca="1">U51*'Assumption Table'!$C$55</f>
        <v>85750.072319370098</v>
      </c>
      <c r="V55" s="31">
        <f ca="1">V51*'Assumption Table'!$C$55</f>
        <v>139040.18828211378</v>
      </c>
      <c r="W55" s="31">
        <f ca="1">W51*'Assumption Table'!$C$55</f>
        <v>156093.25173460395</v>
      </c>
      <c r="X55" s="31">
        <f ca="1">X51*'Assumption Table'!$C$55</f>
        <v>146178.39335470315</v>
      </c>
      <c r="Y55" s="31">
        <f ca="1">Y51*'Assumption Table'!$C$55</f>
        <v>104649.35152530027</v>
      </c>
      <c r="Z55" s="31">
        <f ca="1">Z51*'Assumption Table'!$C$55</f>
        <v>206792.59998734077</v>
      </c>
      <c r="AA55" s="31">
        <f ca="1">AA51*'Assumption Table'!$C$55</f>
        <v>161506.39721965205</v>
      </c>
      <c r="AB55" s="31">
        <f ca="1">AB51*'Assumption Table'!$C$55</f>
        <v>145420.83695078379</v>
      </c>
      <c r="AC55" s="31">
        <f ca="1">AC51*'Assumption Table'!$C$55</f>
        <v>223472.83706500602</v>
      </c>
      <c r="AD55" s="31">
        <f ca="1">AD51*'Assumption Table'!$C$55</f>
        <v>140445.44193018926</v>
      </c>
      <c r="AE55" s="31">
        <f ca="1">AE51*'Assumption Table'!$C$55</f>
        <v>245185.43268442445</v>
      </c>
      <c r="AF55" s="31">
        <f ca="1">AF51*'Assumption Table'!$C$55</f>
        <v>159406.35719042621</v>
      </c>
      <c r="AG55" s="31">
        <f ca="1">AG51*'Assumption Table'!$C$55</f>
        <v>107190.4310898851</v>
      </c>
      <c r="AH55" s="31">
        <f ca="1">AH51*'Assumption Table'!$C$55</f>
        <v>126233.42165638927</v>
      </c>
      <c r="AI55" s="31">
        <f ca="1">AI51*'Assumption Table'!$C$55</f>
        <v>180761.27937960529</v>
      </c>
      <c r="AJ55" s="31">
        <f ca="1">AJ51*'Assumption Table'!$C$55</f>
        <v>380370.48036749422</v>
      </c>
      <c r="AK55" s="31">
        <f ca="1">AK51*'Assumption Table'!$C$55</f>
        <v>197491.38588916781</v>
      </c>
      <c r="AL55" s="31">
        <f ca="1">AL51*'Assumption Table'!$C$55</f>
        <v>308538.03658964246</v>
      </c>
      <c r="AM55" s="31">
        <f ca="1">AM51*'Assumption Table'!$C$55</f>
        <v>335543.59524494095</v>
      </c>
      <c r="AN55" s="31">
        <f ca="1">AN51*'Assumption Table'!$C$55</f>
        <v>266963.25400459243</v>
      </c>
      <c r="AO55" s="31">
        <f ca="1">AO51*'Assumption Table'!$C$55</f>
        <v>128105.91331727158</v>
      </c>
      <c r="AP55" s="31">
        <f ca="1">AP51*'Assumption Table'!$C$55</f>
        <v>158573.26233287834</v>
      </c>
      <c r="AQ55" s="31">
        <f ca="1">AQ51*'Assumption Table'!$C$55</f>
        <v>235875.23272821313</v>
      </c>
      <c r="AR55" s="31">
        <f ca="1">AR51*'Assumption Table'!$C$55</f>
        <v>147310.33317149311</v>
      </c>
      <c r="AS55" s="31">
        <f ca="1">AS51*'Assumption Table'!$C$55</f>
        <v>333128.77535183425</v>
      </c>
      <c r="AT55" s="31">
        <f ca="1">AT51*'Assumption Table'!$C$55</f>
        <v>342558.07361549931</v>
      </c>
      <c r="AU55" s="31">
        <f ca="1">AU51*'Assumption Table'!$C$55</f>
        <v>309953.23485580104</v>
      </c>
      <c r="AV55" s="31">
        <f ca="1">AV51*'Assumption Table'!$C$55</f>
        <v>339790.10487141297</v>
      </c>
      <c r="AW55" s="31">
        <f ca="1">AW51*'Assumption Table'!$C$55</f>
        <v>375547.88502661878</v>
      </c>
      <c r="AX55" s="31">
        <f ca="1">AX51*'Assumption Table'!$C$55</f>
        <v>336367.33717310167</v>
      </c>
      <c r="AY55" s="31">
        <f ca="1">AY51*'Assumption Table'!$C$55</f>
        <v>268264.30123570649</v>
      </c>
      <c r="AZ55" s="31">
        <f ca="1">AZ51*'Assumption Table'!$C$55</f>
        <v>378377.39314812294</v>
      </c>
      <c r="BA55" s="31">
        <f ca="1">BA51*'Assumption Table'!$C$55</f>
        <v>243269.91787098988</v>
      </c>
      <c r="BB55" s="31">
        <f ca="1">BB51*'Assumption Table'!$C$55</f>
        <v>333250.85486581118</v>
      </c>
      <c r="BC55" s="31">
        <f ca="1">BC51*'Assumption Table'!$C$55</f>
        <v>481644.49712480494</v>
      </c>
      <c r="BD55" s="31">
        <f ca="1">BD51*'Assumption Table'!$C$55</f>
        <v>481976.83249445911</v>
      </c>
      <c r="BE55" s="31">
        <f ca="1">BE51*'Assumption Table'!$C$55</f>
        <v>640854.22478912538</v>
      </c>
      <c r="BF55" s="31">
        <f ca="1">BF51*'Assumption Table'!$C$55</f>
        <v>639657.25128259952</v>
      </c>
      <c r="BG55" s="31">
        <f ca="1">BG51*'Assumption Table'!$C$55</f>
        <v>577020.17825081467</v>
      </c>
      <c r="BH55" s="31">
        <f ca="1">BH51*'Assumption Table'!$C$55</f>
        <v>337263.52157564054</v>
      </c>
      <c r="BI55" s="31">
        <f ca="1">BI51*'Assumption Table'!$C$55</f>
        <v>575161.86848691956</v>
      </c>
      <c r="BJ55" s="114" t="str">
        <f t="shared" si="17"/>
        <v>Hosting and Infrastructure</v>
      </c>
      <c r="BK55" s="27">
        <f t="shared" ref="BK55:BK60" ca="1" si="20">SUMIFS($B55:$BI55,$B$4:$BI$4,"&lt;=12")</f>
        <v>401201.05080163543</v>
      </c>
      <c r="BL55" s="27">
        <f t="shared" ref="BL55:BL60" ca="1" si="21">SUMIFS($B55:$BI55,$B$4:$BI$4,"&lt;=24",$B$4:$BI$4,"&gt;12")</f>
        <v>1295409.0370641835</v>
      </c>
      <c r="BM55" s="27">
        <f t="shared" ref="BM55:BM60" ca="1" si="22">SUMIFS($B55:$BI55,$B$4:$BI$4,"&lt;=36",$B$4:$BI$4,"&gt;24")</f>
        <v>2274276.9014103641</v>
      </c>
      <c r="BN55" s="27">
        <f t="shared" ref="BN55:BN60" ca="1" si="23">SUMIFS($B55:$BI55,$B$4:$BI$4,"&lt;=48",$B$4:$BI$4,"&gt;36")</f>
        <v>3281887.7011101982</v>
      </c>
      <c r="BO55" s="27">
        <f t="shared" ref="BO55:BO60" ca="1" si="24">SUMIFS($B55:$BI55,$B$4:$BI$4,"&lt;=60",$B$4:$BI$4,"&gt;48")</f>
        <v>5293108.1782980962</v>
      </c>
    </row>
    <row r="56" spans="1:67" ht="13.4" customHeight="1">
      <c r="A56" s="4" t="s">
        <v>46</v>
      </c>
      <c r="B56" s="27">
        <f ca="1">B51*'Assumption Table'!$C$56</f>
        <v>27312.844664412234</v>
      </c>
      <c r="C56" s="27">
        <f ca="1">C51*'Assumption Table'!$C$56</f>
        <v>52779.683146653129</v>
      </c>
      <c r="D56" s="27">
        <f ca="1">D51*'Assumption Table'!$C$56</f>
        <v>103069.87354685049</v>
      </c>
      <c r="E56" s="27">
        <f ca="1">E51*'Assumption Table'!$C$56</f>
        <v>72365.943290346098</v>
      </c>
      <c r="F56" s="27">
        <f ca="1">F51*'Assumption Table'!$C$56</f>
        <v>97127.540098315396</v>
      </c>
      <c r="G56" s="27">
        <f ca="1">G51*'Assumption Table'!$C$56</f>
        <v>166468.66576432195</v>
      </c>
      <c r="H56" s="27">
        <f ca="1">H51*'Assumption Table'!$C$56</f>
        <v>160333.22228186214</v>
      </c>
      <c r="I56" s="27">
        <f ca="1">I51*'Assumption Table'!$C$56</f>
        <v>224122.72927728144</v>
      </c>
      <c r="J56" s="27">
        <f ca="1">J51*'Assumption Table'!$C$56</f>
        <v>283024.84199587622</v>
      </c>
      <c r="K56" s="27">
        <f ca="1">K51*'Assumption Table'!$C$56</f>
        <v>280743.98650126217</v>
      </c>
      <c r="L56" s="27">
        <f ca="1">L51*'Assumption Table'!$C$56</f>
        <v>328384.66837847553</v>
      </c>
      <c r="M56" s="27">
        <f ca="1">M51*'Assumption Table'!$C$56</f>
        <v>210271.25506252045</v>
      </c>
      <c r="N56" s="27">
        <f ca="1">N51*'Assumption Table'!$C$56</f>
        <v>443163.23507174954</v>
      </c>
      <c r="O56" s="27">
        <f ca="1">O51*'Assumption Table'!$C$56</f>
        <v>438976.99968921993</v>
      </c>
      <c r="P56" s="27">
        <f ca="1">P51*'Assumption Table'!$C$56</f>
        <v>541776.6953956252</v>
      </c>
      <c r="Q56" s="27">
        <f ca="1">Q51*'Assumption Table'!$C$56</f>
        <v>467884.36788142036</v>
      </c>
      <c r="R56" s="27">
        <f ca="1">R51*'Assumption Table'!$C$56</f>
        <v>531045.80735767621</v>
      </c>
      <c r="S56" s="27">
        <f ca="1">S51*'Assumption Table'!$C$56</f>
        <v>437929.20548690896</v>
      </c>
      <c r="T56" s="27">
        <f ca="1">T51*'Assumption Table'!$C$56</f>
        <v>457712.58835786104</v>
      </c>
      <c r="U56" s="27">
        <f ca="1">U51*'Assumption Table'!$C$56</f>
        <v>428750.3615968505</v>
      </c>
      <c r="V56" s="27">
        <f ca="1">V51*'Assumption Table'!$C$56</f>
        <v>695200.94141056901</v>
      </c>
      <c r="W56" s="27">
        <f ca="1">W51*'Assumption Table'!$C$56</f>
        <v>780466.25867301971</v>
      </c>
      <c r="X56" s="27">
        <f ca="1">X51*'Assumption Table'!$C$56</f>
        <v>730891.9667735158</v>
      </c>
      <c r="Y56" s="27">
        <f ca="1">Y51*'Assumption Table'!$C$56</f>
        <v>523246.75762650138</v>
      </c>
      <c r="Z56" s="27">
        <f ca="1">Z51*'Assumption Table'!$C$56</f>
        <v>1033962.9999367039</v>
      </c>
      <c r="AA56" s="27">
        <f ca="1">AA51*'Assumption Table'!$C$56</f>
        <v>807531.98609826015</v>
      </c>
      <c r="AB56" s="27">
        <f ca="1">AB51*'Assumption Table'!$C$56</f>
        <v>727104.1847539189</v>
      </c>
      <c r="AC56" s="27">
        <f ca="1">AC51*'Assumption Table'!$C$56</f>
        <v>1117364.1853250302</v>
      </c>
      <c r="AD56" s="27">
        <f ca="1">AD51*'Assumption Table'!$C$56</f>
        <v>702227.20965094643</v>
      </c>
      <c r="AE56" s="27">
        <f ca="1">AE51*'Assumption Table'!$C$56</f>
        <v>1225927.1634221224</v>
      </c>
      <c r="AF56" s="27">
        <f ca="1">AF51*'Assumption Table'!$C$56</f>
        <v>797031.78595213115</v>
      </c>
      <c r="AG56" s="27">
        <f ca="1">AG51*'Assumption Table'!$C$56</f>
        <v>535952.15544942545</v>
      </c>
      <c r="AH56" s="27">
        <f ca="1">AH51*'Assumption Table'!$C$56</f>
        <v>631167.10828194639</v>
      </c>
      <c r="AI56" s="27">
        <f ca="1">AI51*'Assumption Table'!$C$56</f>
        <v>903806.39689802646</v>
      </c>
      <c r="AJ56" s="27">
        <f ca="1">AJ51*'Assumption Table'!$C$56</f>
        <v>1901852.4018374712</v>
      </c>
      <c r="AK56" s="27">
        <f ca="1">AK51*'Assumption Table'!$C$56</f>
        <v>987456.92944583902</v>
      </c>
      <c r="AL56" s="27">
        <f ca="1">AL51*'Assumption Table'!$C$56</f>
        <v>1542690.1829482121</v>
      </c>
      <c r="AM56" s="27">
        <f ca="1">AM51*'Assumption Table'!$C$56</f>
        <v>1677717.9762247046</v>
      </c>
      <c r="AN56" s="27">
        <f ca="1">AN51*'Assumption Table'!$C$56</f>
        <v>1334816.270022962</v>
      </c>
      <c r="AO56" s="27">
        <f ca="1">AO51*'Assumption Table'!$C$56</f>
        <v>640529.56658635789</v>
      </c>
      <c r="AP56" s="27">
        <f ca="1">AP51*'Assumption Table'!$C$56</f>
        <v>792866.31166439177</v>
      </c>
      <c r="AQ56" s="27">
        <f ca="1">AQ51*'Assumption Table'!$C$56</f>
        <v>1179376.1636410656</v>
      </c>
      <c r="AR56" s="27">
        <f ca="1">AR51*'Assumption Table'!$C$56</f>
        <v>736551.66585746547</v>
      </c>
      <c r="AS56" s="27">
        <f ca="1">AS51*'Assumption Table'!$C$56</f>
        <v>1665643.8767591713</v>
      </c>
      <c r="AT56" s="27">
        <f ca="1">AT51*'Assumption Table'!$C$56</f>
        <v>1712790.3680774965</v>
      </c>
      <c r="AU56" s="27">
        <f ca="1">AU51*'Assumption Table'!$C$56</f>
        <v>1549766.174279005</v>
      </c>
      <c r="AV56" s="27">
        <f ca="1">AV51*'Assumption Table'!$C$56</f>
        <v>1698950.5243570649</v>
      </c>
      <c r="AW56" s="27">
        <f ca="1">AW51*'Assumption Table'!$C$56</f>
        <v>1877739.425133094</v>
      </c>
      <c r="AX56" s="27">
        <f ca="1">AX51*'Assumption Table'!$C$56</f>
        <v>1681836.6858655082</v>
      </c>
      <c r="AY56" s="27">
        <f ca="1">AY51*'Assumption Table'!$C$56</f>
        <v>1341321.5061785325</v>
      </c>
      <c r="AZ56" s="27">
        <f ca="1">AZ51*'Assumption Table'!$C$56</f>
        <v>1891886.9657406146</v>
      </c>
      <c r="BA56" s="27">
        <f ca="1">BA51*'Assumption Table'!$C$56</f>
        <v>1216349.5893549493</v>
      </c>
      <c r="BB56" s="27">
        <f ca="1">BB51*'Assumption Table'!$C$56</f>
        <v>1666254.2743290558</v>
      </c>
      <c r="BC56" s="27">
        <f ca="1">BC51*'Assumption Table'!$C$56</f>
        <v>2408222.4856240246</v>
      </c>
      <c r="BD56" s="27">
        <f ca="1">BD51*'Assumption Table'!$C$56</f>
        <v>2409884.1624722956</v>
      </c>
      <c r="BE56" s="27">
        <f ca="1">BE51*'Assumption Table'!$C$56</f>
        <v>3204271.1239456269</v>
      </c>
      <c r="BF56" s="27">
        <f ca="1">BF51*'Assumption Table'!$C$56</f>
        <v>3198286.2564129978</v>
      </c>
      <c r="BG56" s="27">
        <f ca="1">BG51*'Assumption Table'!$C$56</f>
        <v>2885100.8912540735</v>
      </c>
      <c r="BH56" s="27">
        <f ca="1">BH51*'Assumption Table'!$C$56</f>
        <v>1686317.6078782028</v>
      </c>
      <c r="BI56" s="97">
        <f ca="1">BI51*'Assumption Table'!$C$56</f>
        <v>2875809.3424345977</v>
      </c>
      <c r="BJ56" s="17" t="str">
        <f t="shared" si="17"/>
        <v>Development and Maintenance</v>
      </c>
      <c r="BK56" s="115">
        <f t="shared" ca="1" si="20"/>
        <v>2006005.2540081772</v>
      </c>
      <c r="BL56" s="115">
        <f t="shared" ca="1" si="21"/>
        <v>6477045.1853209175</v>
      </c>
      <c r="BM56" s="115">
        <f t="shared" ca="1" si="22"/>
        <v>11371384.507051824</v>
      </c>
      <c r="BN56" s="115">
        <f t="shared" ca="1" si="23"/>
        <v>16409438.505550992</v>
      </c>
      <c r="BO56" s="115">
        <f t="shared" ca="1" si="24"/>
        <v>26465540.891490482</v>
      </c>
    </row>
    <row r="57" spans="1:67" ht="13.4" customHeight="1">
      <c r="A57" s="4" t="s">
        <v>47</v>
      </c>
      <c r="B57" s="27">
        <f ca="1">ROUND(B14/'Assumption Table'!$C$58,0)*'Assumption Table'!$C$59</f>
        <v>30000</v>
      </c>
      <c r="C57" s="27">
        <f ca="1">ROUND(C14/'Assumption Table'!$C$58,0)*'Assumption Table'!$C$59</f>
        <v>68000</v>
      </c>
      <c r="D57" s="27">
        <f ca="1">ROUND(D14/'Assumption Table'!$C$58,0)*'Assumption Table'!$C$59</f>
        <v>106000</v>
      </c>
      <c r="E57" s="27">
        <f ca="1">ROUND(E14/'Assumption Table'!$C$58,0)*'Assumption Table'!$C$59</f>
        <v>102000</v>
      </c>
      <c r="F57" s="27">
        <f ca="1">ROUND(F14/'Assumption Table'!$C$58,0)*'Assumption Table'!$C$59</f>
        <v>168000</v>
      </c>
      <c r="G57" s="27">
        <f ca="1">ROUND(G14/'Assumption Table'!$C$58,0)*'Assumption Table'!$C$59</f>
        <v>192000</v>
      </c>
      <c r="H57" s="27">
        <f ca="1">ROUND(H14/'Assumption Table'!$C$58,0)*'Assumption Table'!$C$59</f>
        <v>216000</v>
      </c>
      <c r="I57" s="27">
        <f ca="1">ROUND(I14/'Assumption Table'!$C$58,0)*'Assumption Table'!$C$59</f>
        <v>266000</v>
      </c>
      <c r="J57" s="27">
        <f ca="1">ROUND(J14/'Assumption Table'!$C$58,0)*'Assumption Table'!$C$59</f>
        <v>302000</v>
      </c>
      <c r="K57" s="27">
        <f ca="1">ROUND(K14/'Assumption Table'!$C$58,0)*'Assumption Table'!$C$59</f>
        <v>358000</v>
      </c>
      <c r="L57" s="27">
        <f ca="1">ROUND(L14/'Assumption Table'!$C$58,0)*'Assumption Table'!$C$59</f>
        <v>380000</v>
      </c>
      <c r="M57" s="27">
        <f ca="1">ROUND(M14/'Assumption Table'!$C$58,0)*'Assumption Table'!$C$59</f>
        <v>306000</v>
      </c>
      <c r="N57" s="27">
        <f ca="1">ROUND(N14/'Assumption Table'!$C$58,0)*'Assumption Table'!$C$59</f>
        <v>548000</v>
      </c>
      <c r="O57" s="27">
        <f ca="1">ROUND(O14/'Assumption Table'!$C$58,0)*'Assumption Table'!$C$59</f>
        <v>468000</v>
      </c>
      <c r="P57" s="27">
        <f ca="1">ROUND(P14/'Assumption Table'!$C$58,0)*'Assumption Table'!$C$59</f>
        <v>652000</v>
      </c>
      <c r="Q57" s="27">
        <f ca="1">ROUND(Q14/'Assumption Table'!$C$58,0)*'Assumption Table'!$C$59</f>
        <v>688000</v>
      </c>
      <c r="R57" s="27">
        <f ca="1">ROUND(R14/'Assumption Table'!$C$58,0)*'Assumption Table'!$C$59</f>
        <v>610000</v>
      </c>
      <c r="S57" s="27">
        <f ca="1">ROUND(S14/'Assumption Table'!$C$58,0)*'Assumption Table'!$C$59</f>
        <v>576000</v>
      </c>
      <c r="T57" s="27">
        <f ca="1">ROUND(T14/'Assumption Table'!$C$58,0)*'Assumption Table'!$C$59</f>
        <v>574000</v>
      </c>
      <c r="U57" s="27">
        <f ca="1">ROUND(U14/'Assumption Table'!$C$58,0)*'Assumption Table'!$C$59</f>
        <v>780000</v>
      </c>
      <c r="V57" s="27">
        <f ca="1">ROUND(V14/'Assumption Table'!$C$58,0)*'Assumption Table'!$C$59</f>
        <v>774000</v>
      </c>
      <c r="W57" s="27">
        <f ca="1">ROUND(W14/'Assumption Table'!$C$58,0)*'Assumption Table'!$C$59</f>
        <v>792000</v>
      </c>
      <c r="X57" s="27">
        <f ca="1">ROUND(X14/'Assumption Table'!$C$58,0)*'Assumption Table'!$C$59</f>
        <v>1086000</v>
      </c>
      <c r="Y57" s="27">
        <f ca="1">ROUND(Y14/'Assumption Table'!$C$58,0)*'Assumption Table'!$C$59</f>
        <v>862000</v>
      </c>
      <c r="Z57" s="27">
        <f ca="1">ROUND(Z14/'Assumption Table'!$C$58,0)*'Assumption Table'!$C$59</f>
        <v>1106000</v>
      </c>
      <c r="AA57" s="27">
        <f ca="1">ROUND(AA14/'Assumption Table'!$C$58,0)*'Assumption Table'!$C$59</f>
        <v>1084000</v>
      </c>
      <c r="AB57" s="27">
        <f ca="1">ROUND(AB14/'Assumption Table'!$C$58,0)*'Assumption Table'!$C$59</f>
        <v>790000</v>
      </c>
      <c r="AC57" s="27">
        <f ca="1">ROUND(AC14/'Assumption Table'!$C$58,0)*'Assumption Table'!$C$59</f>
        <v>1558000</v>
      </c>
      <c r="AD57" s="27">
        <f ca="1">ROUND(AD14/'Assumption Table'!$C$58,0)*'Assumption Table'!$C$59</f>
        <v>1260000</v>
      </c>
      <c r="AE57" s="27">
        <f ca="1">ROUND(AE14/'Assumption Table'!$C$58,0)*'Assumption Table'!$C$59</f>
        <v>1800000</v>
      </c>
      <c r="AF57" s="27">
        <f ca="1">ROUND(AF14/'Assumption Table'!$C$58,0)*'Assumption Table'!$C$59</f>
        <v>1104000</v>
      </c>
      <c r="AG57" s="27">
        <f ca="1">ROUND(AG14/'Assumption Table'!$C$58,0)*'Assumption Table'!$C$59</f>
        <v>862000</v>
      </c>
      <c r="AH57" s="27">
        <f ca="1">ROUND(AH14/'Assumption Table'!$C$58,0)*'Assumption Table'!$C$59</f>
        <v>1024000</v>
      </c>
      <c r="AI57" s="27">
        <f ca="1">ROUND(AI14/'Assumption Table'!$C$58,0)*'Assumption Table'!$C$59</f>
        <v>1194000</v>
      </c>
      <c r="AJ57" s="27">
        <f ca="1">ROUND(AJ14/'Assumption Table'!$C$58,0)*'Assumption Table'!$C$59</f>
        <v>1926000</v>
      </c>
      <c r="AK57" s="27">
        <f ca="1">ROUND(AK14/'Assumption Table'!$C$58,0)*'Assumption Table'!$C$59</f>
        <v>1202000</v>
      </c>
      <c r="AL57" s="27">
        <f ca="1">ROUND(AL14/'Assumption Table'!$C$58,0)*'Assumption Table'!$C$59</f>
        <v>2140000</v>
      </c>
      <c r="AM57" s="27">
        <f ca="1">ROUND(AM14/'Assumption Table'!$C$58,0)*'Assumption Table'!$C$59</f>
        <v>2254000</v>
      </c>
      <c r="AN57" s="27">
        <f ca="1">ROUND(AN14/'Assumption Table'!$C$58,0)*'Assumption Table'!$C$59</f>
        <v>2380000</v>
      </c>
      <c r="AO57" s="27">
        <f ca="1">ROUND(AO14/'Assumption Table'!$C$58,0)*'Assumption Table'!$C$59</f>
        <v>1868000</v>
      </c>
      <c r="AP57" s="27">
        <f ca="1">ROUND(AP14/'Assumption Table'!$C$58,0)*'Assumption Table'!$C$59</f>
        <v>1218000</v>
      </c>
      <c r="AQ57" s="27">
        <f ca="1">ROUND(AQ14/'Assumption Table'!$C$58,0)*'Assumption Table'!$C$59</f>
        <v>1514000</v>
      </c>
      <c r="AR57" s="27">
        <f ca="1">ROUND(AR14/'Assumption Table'!$C$58,0)*'Assumption Table'!$C$59</f>
        <v>1856000</v>
      </c>
      <c r="AS57" s="27">
        <f ca="1">ROUND(AS14/'Assumption Table'!$C$58,0)*'Assumption Table'!$C$59</f>
        <v>1960000</v>
      </c>
      <c r="AT57" s="27">
        <f ca="1">ROUND(AT14/'Assumption Table'!$C$58,0)*'Assumption Table'!$C$59</f>
        <v>1978000</v>
      </c>
      <c r="AU57" s="27">
        <f ca="1">ROUND(AU14/'Assumption Table'!$C$58,0)*'Assumption Table'!$C$59</f>
        <v>2176000</v>
      </c>
      <c r="AV57" s="27">
        <f ca="1">ROUND(AV14/'Assumption Table'!$C$58,0)*'Assumption Table'!$C$59</f>
        <v>2766000</v>
      </c>
      <c r="AW57" s="27">
        <f ca="1">ROUND(AW14/'Assumption Table'!$C$58,0)*'Assumption Table'!$C$59</f>
        <v>1786000</v>
      </c>
      <c r="AX57" s="27">
        <f ca="1">ROUND(AX14/'Assumption Table'!$C$58,0)*'Assumption Table'!$C$59</f>
        <v>2242000</v>
      </c>
      <c r="AY57" s="27">
        <f ca="1">ROUND(AY14/'Assumption Table'!$C$58,0)*'Assumption Table'!$C$59</f>
        <v>2388000</v>
      </c>
      <c r="AZ57" s="27">
        <f ca="1">ROUND(AZ14/'Assumption Table'!$C$58,0)*'Assumption Table'!$C$59</f>
        <v>2560000</v>
      </c>
      <c r="BA57" s="27">
        <f ca="1">ROUND(BA14/'Assumption Table'!$C$58,0)*'Assumption Table'!$C$59</f>
        <v>2428000</v>
      </c>
      <c r="BB57" s="27">
        <f ca="1">ROUND(BB14/'Assumption Table'!$C$58,0)*'Assumption Table'!$C$59</f>
        <v>2322000</v>
      </c>
      <c r="BC57" s="27">
        <f ca="1">ROUND(BC14/'Assumption Table'!$C$58,0)*'Assumption Table'!$C$59</f>
        <v>2658000</v>
      </c>
      <c r="BD57" s="27">
        <f ca="1">ROUND(BD14/'Assumption Table'!$C$58,0)*'Assumption Table'!$C$59</f>
        <v>3436000</v>
      </c>
      <c r="BE57" s="27">
        <f ca="1">ROUND(BE14/'Assumption Table'!$C$58,0)*'Assumption Table'!$C$59</f>
        <v>3864000</v>
      </c>
      <c r="BF57" s="27">
        <f ca="1">ROUND(BF14/'Assumption Table'!$C$58,0)*'Assumption Table'!$C$59</f>
        <v>4026000</v>
      </c>
      <c r="BG57" s="27">
        <f ca="1">ROUND(BG14/'Assumption Table'!$C$58,0)*'Assumption Table'!$C$59</f>
        <v>3492000</v>
      </c>
      <c r="BH57" s="27">
        <f ca="1">ROUND(BH14/'Assumption Table'!$C$58,0)*'Assumption Table'!$C$59</f>
        <v>2456000</v>
      </c>
      <c r="BI57" s="27">
        <f ca="1">ROUND(BI14/'Assumption Table'!$C$58,0)*'Assumption Table'!$C$59</f>
        <v>3892000</v>
      </c>
      <c r="BJ57" s="114" t="str">
        <f t="shared" si="17"/>
        <v>Customer Support</v>
      </c>
      <c r="BK57" s="115">
        <f t="shared" ca="1" si="20"/>
        <v>2494000</v>
      </c>
      <c r="BL57" s="115">
        <f t="shared" ca="1" si="21"/>
        <v>8410000</v>
      </c>
      <c r="BM57" s="115">
        <f t="shared" ca="1" si="22"/>
        <v>14910000</v>
      </c>
      <c r="BN57" s="115">
        <f t="shared" ca="1" si="23"/>
        <v>23896000</v>
      </c>
      <c r="BO57" s="115">
        <f t="shared" ca="1" si="24"/>
        <v>35764000</v>
      </c>
    </row>
    <row r="58" spans="1:67" ht="13.4" customHeight="1">
      <c r="A58" s="4" t="s">
        <v>50</v>
      </c>
      <c r="B58" s="31">
        <f ca="1">B51*'Assumption Table'!$C$60</f>
        <v>1820.8563109608158</v>
      </c>
      <c r="C58" s="31">
        <f ca="1">C51*'Assumption Table'!$C$60</f>
        <v>3518.645543110209</v>
      </c>
      <c r="D58" s="31">
        <f ca="1">D51*'Assumption Table'!$C$60</f>
        <v>6871.3249031233663</v>
      </c>
      <c r="E58" s="31">
        <f ca="1">E51*'Assumption Table'!$C$60</f>
        <v>4824.3962193564066</v>
      </c>
      <c r="F58" s="31">
        <f ca="1">F51*'Assumption Table'!$C$60</f>
        <v>6475.1693398876932</v>
      </c>
      <c r="G58" s="31">
        <f ca="1">G51*'Assumption Table'!$C$60</f>
        <v>11097.911050954797</v>
      </c>
      <c r="H58" s="31">
        <f ca="1">H51*'Assumption Table'!$C$60</f>
        <v>10688.881485457476</v>
      </c>
      <c r="I58" s="31">
        <f ca="1">I51*'Assumption Table'!$C$60</f>
        <v>14941.515285152098</v>
      </c>
      <c r="J58" s="31">
        <f ca="1">J51*'Assumption Table'!$C$60</f>
        <v>18868.32279972508</v>
      </c>
      <c r="K58" s="31">
        <f ca="1">K51*'Assumption Table'!$C$60</f>
        <v>18716.265766750814</v>
      </c>
      <c r="L58" s="31">
        <f ca="1">L51*'Assumption Table'!$C$60</f>
        <v>21892.311225231704</v>
      </c>
      <c r="M58" s="31">
        <f ca="1">M51*'Assumption Table'!$C$60</f>
        <v>14018.083670834696</v>
      </c>
      <c r="N58" s="31">
        <f ca="1">N51*'Assumption Table'!$C$60</f>
        <v>29544.215671449969</v>
      </c>
      <c r="O58" s="31">
        <f ca="1">O51*'Assumption Table'!$C$60</f>
        <v>29265.133312614664</v>
      </c>
      <c r="P58" s="31">
        <f ca="1">P51*'Assumption Table'!$C$60</f>
        <v>36118.446359708345</v>
      </c>
      <c r="Q58" s="31">
        <f ca="1">Q51*'Assumption Table'!$C$60</f>
        <v>31192.291192094694</v>
      </c>
      <c r="R58" s="31">
        <f ca="1">R51*'Assumption Table'!$C$60</f>
        <v>35403.053823845083</v>
      </c>
      <c r="S58" s="31">
        <f ca="1">S51*'Assumption Table'!$C$60</f>
        <v>29195.280365793933</v>
      </c>
      <c r="T58" s="31">
        <f ca="1">T51*'Assumption Table'!$C$60</f>
        <v>30514.172557190737</v>
      </c>
      <c r="U58" s="31">
        <f ca="1">U51*'Assumption Table'!$C$60</f>
        <v>28583.357439790034</v>
      </c>
      <c r="V58" s="31">
        <f ca="1">V51*'Assumption Table'!$C$60</f>
        <v>46346.729427371269</v>
      </c>
      <c r="W58" s="31">
        <f ca="1">W51*'Assumption Table'!$C$60</f>
        <v>52031.083911534653</v>
      </c>
      <c r="X58" s="31">
        <f ca="1">X51*'Assumption Table'!$C$60</f>
        <v>48726.131118234385</v>
      </c>
      <c r="Y58" s="31">
        <f ca="1">Y51*'Assumption Table'!$C$60</f>
        <v>34883.117175100095</v>
      </c>
      <c r="Z58" s="31">
        <f ca="1">Z51*'Assumption Table'!$C$60</f>
        <v>68930.866662446933</v>
      </c>
      <c r="AA58" s="31">
        <f ca="1">AA51*'Assumption Table'!$C$60</f>
        <v>53835.465739884014</v>
      </c>
      <c r="AB58" s="31">
        <f ca="1">AB51*'Assumption Table'!$C$60</f>
        <v>48473.612316927931</v>
      </c>
      <c r="AC58" s="31">
        <f ca="1">AC51*'Assumption Table'!$C$60</f>
        <v>74490.945688335341</v>
      </c>
      <c r="AD58" s="31">
        <f ca="1">AD51*'Assumption Table'!$C$60</f>
        <v>46815.147310063097</v>
      </c>
      <c r="AE58" s="31">
        <f ca="1">AE51*'Assumption Table'!$C$60</f>
        <v>81728.477561474821</v>
      </c>
      <c r="AF58" s="31">
        <f ca="1">AF51*'Assumption Table'!$C$60</f>
        <v>53135.452396808745</v>
      </c>
      <c r="AG58" s="31">
        <f ca="1">AG51*'Assumption Table'!$C$60</f>
        <v>35730.143696628365</v>
      </c>
      <c r="AH58" s="31">
        <f ca="1">AH51*'Assumption Table'!$C$60</f>
        <v>42077.807218796428</v>
      </c>
      <c r="AI58" s="31">
        <f ca="1">AI51*'Assumption Table'!$C$60</f>
        <v>60253.759793201767</v>
      </c>
      <c r="AJ58" s="31">
        <f ca="1">AJ51*'Assumption Table'!$C$60</f>
        <v>126790.16012249808</v>
      </c>
      <c r="AK58" s="31">
        <f ca="1">AK51*'Assumption Table'!$C$60</f>
        <v>65830.461963055932</v>
      </c>
      <c r="AL58" s="31">
        <f ca="1">AL51*'Assumption Table'!$C$60</f>
        <v>102846.01219654748</v>
      </c>
      <c r="AM58" s="31">
        <f ca="1">AM51*'Assumption Table'!$C$60</f>
        <v>111847.86508164699</v>
      </c>
      <c r="AN58" s="31">
        <f ca="1">AN51*'Assumption Table'!$C$60</f>
        <v>88987.751334864151</v>
      </c>
      <c r="AO58" s="31">
        <f ca="1">AO51*'Assumption Table'!$C$60</f>
        <v>42701.971105757199</v>
      </c>
      <c r="AP58" s="31">
        <f ca="1">AP51*'Assumption Table'!$C$60</f>
        <v>52857.754110959453</v>
      </c>
      <c r="AQ58" s="31">
        <f ca="1">AQ51*'Assumption Table'!$C$60</f>
        <v>78625.077576071038</v>
      </c>
      <c r="AR58" s="31">
        <f ca="1">AR51*'Assumption Table'!$C$60</f>
        <v>49103.444390497702</v>
      </c>
      <c r="AS58" s="31">
        <f ca="1">AS51*'Assumption Table'!$C$60</f>
        <v>111042.92511727808</v>
      </c>
      <c r="AT58" s="31">
        <f ca="1">AT51*'Assumption Table'!$C$60</f>
        <v>114186.02453849977</v>
      </c>
      <c r="AU58" s="31">
        <f ca="1">AU51*'Assumption Table'!$C$60</f>
        <v>103317.74495193368</v>
      </c>
      <c r="AV58" s="31">
        <f ca="1">AV51*'Assumption Table'!$C$60</f>
        <v>113263.36829047099</v>
      </c>
      <c r="AW58" s="31">
        <f ca="1">AW51*'Assumption Table'!$C$60</f>
        <v>125182.62834220627</v>
      </c>
      <c r="AX58" s="31">
        <f ca="1">AX51*'Assumption Table'!$C$60</f>
        <v>112122.44572436722</v>
      </c>
      <c r="AY58" s="31">
        <f ca="1">AY51*'Assumption Table'!$C$60</f>
        <v>89421.43374523551</v>
      </c>
      <c r="AZ58" s="31">
        <f ca="1">AZ51*'Assumption Table'!$C$60</f>
        <v>126125.79771604099</v>
      </c>
      <c r="BA58" s="31">
        <f ca="1">BA51*'Assumption Table'!$C$60</f>
        <v>81089.9726236633</v>
      </c>
      <c r="BB58" s="31">
        <f ca="1">BB51*'Assumption Table'!$C$60</f>
        <v>111083.61828860373</v>
      </c>
      <c r="BC58" s="31">
        <f ca="1">BC51*'Assumption Table'!$C$60</f>
        <v>160548.16570826832</v>
      </c>
      <c r="BD58" s="31">
        <f ca="1">BD51*'Assumption Table'!$C$60</f>
        <v>160658.94416481972</v>
      </c>
      <c r="BE58" s="31">
        <f ca="1">BE51*'Assumption Table'!$C$60</f>
        <v>213618.07492970847</v>
      </c>
      <c r="BF58" s="31">
        <f ca="1">BF51*'Assumption Table'!$C$60</f>
        <v>213219.08376086652</v>
      </c>
      <c r="BG58" s="31">
        <f ca="1">BG51*'Assumption Table'!$C$60</f>
        <v>192340.05941693825</v>
      </c>
      <c r="BH58" s="31">
        <f ca="1">BH51*'Assumption Table'!$C$60</f>
        <v>112421.17385854686</v>
      </c>
      <c r="BI58" s="31">
        <f ca="1">BI51*'Assumption Table'!$C$60</f>
        <v>191720.6228289732</v>
      </c>
      <c r="BJ58" s="17" t="str">
        <f t="shared" si="17"/>
        <v>Content Licensing</v>
      </c>
      <c r="BK58" s="115">
        <f t="shared" ca="1" si="20"/>
        <v>133733.68360054516</v>
      </c>
      <c r="BL58" s="115">
        <f t="shared" ca="1" si="21"/>
        <v>431803.01235472783</v>
      </c>
      <c r="BM58" s="115">
        <f t="shared" ca="1" si="22"/>
        <v>758092.30047012144</v>
      </c>
      <c r="BN58" s="115">
        <f t="shared" ca="1" si="23"/>
        <v>1093962.5670367328</v>
      </c>
      <c r="BO58" s="115">
        <f t="shared" ca="1" si="24"/>
        <v>1764369.3927660321</v>
      </c>
    </row>
    <row r="59" spans="1:67" ht="13.4" customHeight="1">
      <c r="A59" s="6" t="s">
        <v>237</v>
      </c>
      <c r="B59" s="27">
        <f ca="1">B51*'Assumption Table'!$D$67</f>
        <v>2336.1586469627264</v>
      </c>
      <c r="C59" s="27">
        <f ca="1">C51*'Assumption Table'!$D$67</f>
        <v>4514.4222318103975</v>
      </c>
      <c r="D59" s="27">
        <f ca="1">D51*'Assumption Table'!$D$67</f>
        <v>8815.9098507072777</v>
      </c>
      <c r="E59" s="27">
        <f ca="1">E51*'Assumption Table'!$D$67</f>
        <v>6189.7003494342689</v>
      </c>
      <c r="F59" s="27">
        <f ca="1">F51*'Assumption Table'!$D$67</f>
        <v>8307.6422630759098</v>
      </c>
      <c r="G59" s="27">
        <f ca="1">G51*'Assumption Table'!$D$67</f>
        <v>14238.619878375002</v>
      </c>
      <c r="H59" s="27">
        <f ca="1">H51*'Assumption Table'!$D$67</f>
        <v>13713.834945841942</v>
      </c>
      <c r="I59" s="27">
        <f ca="1">I51*'Assumption Table'!$D$67</f>
        <v>19169.964110850138</v>
      </c>
      <c r="J59" s="27">
        <f ca="1">J51*'Assumption Table'!$D$67</f>
        <v>24208.058152047277</v>
      </c>
      <c r="K59" s="27">
        <f ca="1">K51*'Assumption Table'!$D$67</f>
        <v>24012.968978741294</v>
      </c>
      <c r="L59" s="27">
        <f ca="1">L51*'Assumption Table'!$D$67</f>
        <v>28087.835301972274</v>
      </c>
      <c r="M59" s="27">
        <f ca="1">M51*'Assumption Table'!$D$67</f>
        <v>17985.201349680916</v>
      </c>
      <c r="N59" s="27">
        <f ca="1">N51*'Assumption Table'!$D$67</f>
        <v>37905.228706470312</v>
      </c>
      <c r="O59" s="27">
        <f ca="1">O51*'Assumption Table'!$D$67</f>
        <v>37547.166040084609</v>
      </c>
      <c r="P59" s="27">
        <f ca="1">P51*'Assumption Table'!$D$67</f>
        <v>46339.966679505807</v>
      </c>
      <c r="Q59" s="27">
        <f ca="1">Q51*'Assumption Table'!$D$67</f>
        <v>40019.709599457492</v>
      </c>
      <c r="R59" s="27">
        <f ca="1">R51*'Assumption Table'!$D$67</f>
        <v>45422.118055993233</v>
      </c>
      <c r="S59" s="27">
        <f ca="1">S51*'Assumption Table'!$D$67</f>
        <v>37457.544709313617</v>
      </c>
      <c r="T59" s="27">
        <f ca="1">T51*'Assumption Table'!$D$67</f>
        <v>39149.683390875711</v>
      </c>
      <c r="U59" s="27">
        <f ca="1">U51*'Assumption Table'!$D$67</f>
        <v>36672.447595250611</v>
      </c>
      <c r="V59" s="27">
        <f ca="1">V51*'Assumption Table'!$D$67</f>
        <v>59462.853855317335</v>
      </c>
      <c r="W59" s="27">
        <f ca="1">W51*'Assumption Table'!$D$67</f>
        <v>66755.880658498951</v>
      </c>
      <c r="X59" s="27">
        <f ca="1">X51*'Assumption Table'!$D$67</f>
        <v>62515.626224694715</v>
      </c>
      <c r="Y59" s="27">
        <f ca="1">Y51*'Assumption Table'!$D$67</f>
        <v>44755.039335653419</v>
      </c>
      <c r="Z59" s="27">
        <f ca="1">Z51*'Assumption Table'!$D$67</f>
        <v>88438.301927919412</v>
      </c>
      <c r="AA59" s="27">
        <f ca="1">AA51*'Assumption Table'!$D$67</f>
        <v>69070.902544271186</v>
      </c>
      <c r="AB59" s="27">
        <f ca="1">AB51*'Assumption Table'!$D$67</f>
        <v>62191.644602618529</v>
      </c>
      <c r="AC59" s="27">
        <f ca="1">AC51*'Assumption Table'!$D$67</f>
        <v>95571.883318134249</v>
      </c>
      <c r="AD59" s="27">
        <f ca="1">AD51*'Assumption Table'!$D$67</f>
        <v>60063.833998810944</v>
      </c>
      <c r="AE59" s="27">
        <f ca="1">AE51*'Assumption Table'!$D$67</f>
        <v>104857.63671137219</v>
      </c>
      <c r="AF59" s="27">
        <f ca="1">AF51*'Assumption Table'!$D$67</f>
        <v>68172.785425105612</v>
      </c>
      <c r="AG59" s="27">
        <f ca="1">AG51*'Assumption Table'!$D$67</f>
        <v>45841.774362774195</v>
      </c>
      <c r="AH59" s="27">
        <f ca="1">AH51*'Assumption Table'!$D$67</f>
        <v>53985.826661715808</v>
      </c>
      <c r="AI59" s="27">
        <f ca="1">AI51*'Assumption Table'!$D$67</f>
        <v>77305.57381467786</v>
      </c>
      <c r="AJ59" s="27">
        <f ca="1">AJ51*'Assumption Table'!$D$67</f>
        <v>162671.77543716505</v>
      </c>
      <c r="AK59" s="27">
        <f ca="1">AK51*'Assumption Table'!$D$67</f>
        <v>84460.482698600754</v>
      </c>
      <c r="AL59" s="27">
        <f ca="1">AL51*'Assumption Table'!$D$67</f>
        <v>131951.43364817041</v>
      </c>
      <c r="AM59" s="27">
        <f ca="1">AM51*'Assumption Table'!$D$67</f>
        <v>143500.81089975307</v>
      </c>
      <c r="AN59" s="27">
        <f ca="1">AN51*'Assumption Table'!$D$67</f>
        <v>114171.28496263069</v>
      </c>
      <c r="AO59" s="27">
        <f ca="1">AO51*'Assumption Table'!$D$67</f>
        <v>54786.628928686485</v>
      </c>
      <c r="AP59" s="27">
        <f ca="1">AP51*'Assumption Table'!$D$67</f>
        <v>67816.49852436097</v>
      </c>
      <c r="AQ59" s="27">
        <f ca="1">AQ51*'Assumption Table'!$D$67</f>
        <v>100875.97453009915</v>
      </c>
      <c r="AR59" s="27">
        <f ca="1">AR51*'Assumption Table'!$D$67</f>
        <v>62999.719153008547</v>
      </c>
      <c r="AS59" s="27">
        <f ca="1">AS51*'Assumption Table'!$D$67</f>
        <v>142468.07292546777</v>
      </c>
      <c r="AT59" s="27">
        <f ca="1">AT51*'Assumption Table'!$D$67</f>
        <v>146500.6694828952</v>
      </c>
      <c r="AU59" s="27">
        <f ca="1">AU51*'Assumption Table'!$D$67</f>
        <v>132556.66677333092</v>
      </c>
      <c r="AV59" s="27">
        <f ca="1">AV51*'Assumption Table'!$D$67</f>
        <v>145316.90151667426</v>
      </c>
      <c r="AW59" s="27">
        <f ca="1">AW51*'Assumption Table'!$D$67</f>
        <v>160609.31216305064</v>
      </c>
      <c r="AX59" s="27">
        <f ca="1">AX51*'Assumption Table'!$D$67</f>
        <v>143853.09786436314</v>
      </c>
      <c r="AY59" s="27">
        <f ca="1">AY51*'Assumption Table'!$D$67</f>
        <v>114727.69949513715</v>
      </c>
      <c r="AZ59" s="27">
        <f ca="1">AZ51*'Assumption Table'!$D$67</f>
        <v>161819.39846968057</v>
      </c>
      <c r="BA59" s="27">
        <f ca="1">BA51*'Assumption Table'!$D$67</f>
        <v>104038.43487616</v>
      </c>
      <c r="BB59" s="27">
        <f ca="1">BB51*'Assumption Table'!$D$67</f>
        <v>142520.28226427856</v>
      </c>
      <c r="BC59" s="27">
        <f ca="1">BC51*'Assumption Table'!$D$67</f>
        <v>205983.29660370824</v>
      </c>
      <c r="BD59" s="27">
        <f ca="1">BD51*'Assumption Table'!$D$67</f>
        <v>206125.4253634637</v>
      </c>
      <c r="BE59" s="27">
        <f ca="1">BE51*'Assumption Table'!$D$67</f>
        <v>274071.99013481598</v>
      </c>
      <c r="BF59" s="27">
        <f ca="1">BF51*'Assumption Table'!$D$67</f>
        <v>273560.08446519176</v>
      </c>
      <c r="BG59" s="27">
        <f ca="1">BG51*'Assumption Table'!$D$67</f>
        <v>246772.29623193174</v>
      </c>
      <c r="BH59" s="27">
        <f ca="1">BH51*'Assumption Table'!$D$67</f>
        <v>144236.3660605156</v>
      </c>
      <c r="BI59" s="97">
        <f ca="1">BI51*'Assumption Table'!$D$67</f>
        <v>245977.55908957261</v>
      </c>
      <c r="BJ59" s="19" t="str">
        <f t="shared" si="17"/>
        <v>Payment Processing</v>
      </c>
      <c r="BK59" s="115">
        <f t="shared" ca="1" si="20"/>
        <v>171580.31605949943</v>
      </c>
      <c r="BL59" s="115">
        <f t="shared" ca="1" si="21"/>
        <v>554003.26485111588</v>
      </c>
      <c r="BM59" s="115">
        <f t="shared" ca="1" si="22"/>
        <v>972632.42150316585</v>
      </c>
      <c r="BN59" s="115">
        <f t="shared" ca="1" si="23"/>
        <v>1403553.973508128</v>
      </c>
      <c r="BO59" s="115">
        <f t="shared" ca="1" si="24"/>
        <v>2263685.9309188188</v>
      </c>
    </row>
    <row r="60" spans="1:67" ht="13.4" customHeight="1">
      <c r="A60" s="4" t="s">
        <v>238</v>
      </c>
      <c r="B60" s="27">
        <f ca="1">B51*'Assumption Table'!$C$61</f>
        <v>54625.689328824468</v>
      </c>
      <c r="C60" s="27">
        <f ca="1">C51*'Assumption Table'!$C$61</f>
        <v>105559.36629330626</v>
      </c>
      <c r="D60" s="27">
        <f ca="1">D51*'Assumption Table'!$C$61</f>
        <v>206139.74709370098</v>
      </c>
      <c r="E60" s="27">
        <f ca="1">E51*'Assumption Table'!$C$61</f>
        <v>144731.8865806922</v>
      </c>
      <c r="F60" s="27">
        <f ca="1">F51*'Assumption Table'!$C$61</f>
        <v>194255.08019663079</v>
      </c>
      <c r="G60" s="27">
        <f ca="1">G51*'Assumption Table'!$C$61</f>
        <v>332937.3315286439</v>
      </c>
      <c r="H60" s="27">
        <f ca="1">H51*'Assumption Table'!$C$61</f>
        <v>320666.44456372428</v>
      </c>
      <c r="I60" s="27">
        <f ca="1">I51*'Assumption Table'!$C$61</f>
        <v>448245.45855456288</v>
      </c>
      <c r="J60" s="27">
        <f ca="1">J51*'Assumption Table'!$C$61</f>
        <v>566049.68399175245</v>
      </c>
      <c r="K60" s="27">
        <f ca="1">K51*'Assumption Table'!$C$61</f>
        <v>561487.97300252435</v>
      </c>
      <c r="L60" s="27">
        <f ca="1">L51*'Assumption Table'!$C$61</f>
        <v>656769.33675695106</v>
      </c>
      <c r="M60" s="27">
        <f ca="1">M51*'Assumption Table'!$C$61</f>
        <v>420542.51012504089</v>
      </c>
      <c r="N60" s="27">
        <f ca="1">N51*'Assumption Table'!$C$61</f>
        <v>886326.47014349909</v>
      </c>
      <c r="O60" s="27">
        <f ca="1">O51*'Assumption Table'!$C$61</f>
        <v>877953.99937843985</v>
      </c>
      <c r="P60" s="27">
        <f ca="1">P51*'Assumption Table'!$C$61</f>
        <v>1083553.3907912504</v>
      </c>
      <c r="Q60" s="27">
        <f ca="1">Q51*'Assumption Table'!$C$61</f>
        <v>935768.73576284072</v>
      </c>
      <c r="R60" s="27">
        <f ca="1">R51*'Assumption Table'!$C$61</f>
        <v>1062091.6147153524</v>
      </c>
      <c r="S60" s="27">
        <f ca="1">S51*'Assumption Table'!$C$61</f>
        <v>875858.41097381792</v>
      </c>
      <c r="T60" s="27">
        <f ca="1">T51*'Assumption Table'!$C$61</f>
        <v>915425.17671572207</v>
      </c>
      <c r="U60" s="27">
        <f ca="1">U51*'Assumption Table'!$C$61</f>
        <v>857500.72319370101</v>
      </c>
      <c r="V60" s="27">
        <f ca="1">V51*'Assumption Table'!$C$61</f>
        <v>1390401.882821138</v>
      </c>
      <c r="W60" s="27">
        <f ca="1">W51*'Assumption Table'!$C$61</f>
        <v>1560932.5173460394</v>
      </c>
      <c r="X60" s="27">
        <f ca="1">X51*'Assumption Table'!$C$61</f>
        <v>1461783.9335470316</v>
      </c>
      <c r="Y60" s="27">
        <f ca="1">Y51*'Assumption Table'!$C$61</f>
        <v>1046493.5152530028</v>
      </c>
      <c r="Z60" s="27">
        <f ca="1">Z51*'Assumption Table'!$C$61</f>
        <v>2067925.9998734079</v>
      </c>
      <c r="AA60" s="27">
        <f ca="1">AA51*'Assumption Table'!$C$61</f>
        <v>1615063.9721965203</v>
      </c>
      <c r="AB60" s="27">
        <f ca="1">AB51*'Assumption Table'!$C$61</f>
        <v>1454208.3695078378</v>
      </c>
      <c r="AC60" s="27">
        <f ca="1">AC51*'Assumption Table'!$C$61</f>
        <v>2234728.3706500605</v>
      </c>
      <c r="AD60" s="27">
        <f ca="1">AD51*'Assumption Table'!$C$61</f>
        <v>1404454.4193018929</v>
      </c>
      <c r="AE60" s="27">
        <f ca="1">AE51*'Assumption Table'!$C$61</f>
        <v>2451854.3268442447</v>
      </c>
      <c r="AF60" s="27">
        <f ca="1">AF51*'Assumption Table'!$C$61</f>
        <v>1594063.5719042623</v>
      </c>
      <c r="AG60" s="27">
        <f ca="1">AG51*'Assumption Table'!$C$61</f>
        <v>1071904.3108988509</v>
      </c>
      <c r="AH60" s="27">
        <f ca="1">AH51*'Assumption Table'!$C$61</f>
        <v>1262334.2165638928</v>
      </c>
      <c r="AI60" s="27">
        <f ca="1">AI51*'Assumption Table'!$C$61</f>
        <v>1807612.7937960529</v>
      </c>
      <c r="AJ60" s="27">
        <f ca="1">AJ51*'Assumption Table'!$C$61</f>
        <v>3803704.8036749423</v>
      </c>
      <c r="AK60" s="27">
        <f ca="1">AK51*'Assumption Table'!$C$61</f>
        <v>1974913.858891678</v>
      </c>
      <c r="AL60" s="27">
        <f ca="1">AL51*'Assumption Table'!$C$61</f>
        <v>3085380.3658964243</v>
      </c>
      <c r="AM60" s="27">
        <f ca="1">AM51*'Assumption Table'!$C$61</f>
        <v>3355435.9524494093</v>
      </c>
      <c r="AN60" s="27">
        <f ca="1">AN51*'Assumption Table'!$C$61</f>
        <v>2669632.540045924</v>
      </c>
      <c r="AO60" s="27">
        <f ca="1">AO51*'Assumption Table'!$C$61</f>
        <v>1281059.1331727158</v>
      </c>
      <c r="AP60" s="27">
        <f ca="1">AP51*'Assumption Table'!$C$61</f>
        <v>1585732.6233287835</v>
      </c>
      <c r="AQ60" s="27">
        <f ca="1">AQ51*'Assumption Table'!$C$61</f>
        <v>2358752.3272821312</v>
      </c>
      <c r="AR60" s="27">
        <f ca="1">AR51*'Assumption Table'!$C$61</f>
        <v>1473103.3317149309</v>
      </c>
      <c r="AS60" s="27">
        <f ca="1">AS51*'Assumption Table'!$C$61</f>
        <v>3331287.7535183425</v>
      </c>
      <c r="AT60" s="27">
        <f ca="1">AT51*'Assumption Table'!$C$61</f>
        <v>3425580.7361549931</v>
      </c>
      <c r="AU60" s="27">
        <f ca="1">AU51*'Assumption Table'!$C$61</f>
        <v>3099532.3485580101</v>
      </c>
      <c r="AV60" s="27">
        <f ca="1">AV51*'Assumption Table'!$C$61</f>
        <v>3397901.0487141297</v>
      </c>
      <c r="AW60" s="27">
        <f ca="1">AW51*'Assumption Table'!$C$61</f>
        <v>3755478.8502661879</v>
      </c>
      <c r="AX60" s="27">
        <f ca="1">AX51*'Assumption Table'!$C$61</f>
        <v>3363673.3717310163</v>
      </c>
      <c r="AY60" s="27">
        <f ca="1">AY51*'Assumption Table'!$C$61</f>
        <v>2682643.012357065</v>
      </c>
      <c r="AZ60" s="27">
        <f ca="1">AZ51*'Assumption Table'!$C$61</f>
        <v>3783773.9314812291</v>
      </c>
      <c r="BA60" s="27">
        <f ca="1">BA51*'Assumption Table'!$C$61</f>
        <v>2432699.1787098986</v>
      </c>
      <c r="BB60" s="27">
        <f ca="1">BB51*'Assumption Table'!$C$61</f>
        <v>3332508.5486581116</v>
      </c>
      <c r="BC60" s="27">
        <f ca="1">BC51*'Assumption Table'!$C$61</f>
        <v>4816444.9712480493</v>
      </c>
      <c r="BD60" s="27">
        <f ca="1">BD51*'Assumption Table'!$C$61</f>
        <v>4819768.3249445911</v>
      </c>
      <c r="BE60" s="27">
        <f ca="1">BE51*'Assumption Table'!$C$61</f>
        <v>6408542.2478912538</v>
      </c>
      <c r="BF60" s="27">
        <f ca="1">BF51*'Assumption Table'!$C$61</f>
        <v>6396572.5128259957</v>
      </c>
      <c r="BG60" s="27">
        <f ca="1">BG51*'Assumption Table'!$C$61</f>
        <v>5770201.7825081469</v>
      </c>
      <c r="BH60" s="27">
        <f ca="1">BH51*'Assumption Table'!$C$61</f>
        <v>3372635.2157564056</v>
      </c>
      <c r="BI60" s="97">
        <f ca="1">BI51*'Assumption Table'!$C$61</f>
        <v>5751618.6848691953</v>
      </c>
      <c r="BJ60" s="17" t="str">
        <f t="shared" si="17"/>
        <v>Platform Fees</v>
      </c>
      <c r="BK60" s="115">
        <f t="shared" ca="1" si="20"/>
        <v>4012010.5080163544</v>
      </c>
      <c r="BL60" s="115">
        <f t="shared" ca="1" si="21"/>
        <v>12954090.370641835</v>
      </c>
      <c r="BM60" s="115">
        <f t="shared" ca="1" si="22"/>
        <v>22742769.014103647</v>
      </c>
      <c r="BN60" s="115">
        <f t="shared" ca="1" si="23"/>
        <v>32818877.011101983</v>
      </c>
      <c r="BO60" s="115">
        <f t="shared" ca="1" si="24"/>
        <v>52931081.782980964</v>
      </c>
    </row>
    <row r="61" spans="1:67" ht="12.95" customHeight="1">
      <c r="BI61" s="116"/>
      <c r="BJ61" s="117"/>
    </row>
    <row r="62" spans="1:67" ht="13.4" customHeight="1">
      <c r="A62" s="6" t="s">
        <v>239</v>
      </c>
      <c r="B62" s="118">
        <f t="shared" ref="B62:AG62" ca="1" si="25">(B51-B63)/B51</f>
        <v>0.36241235372438685</v>
      </c>
      <c r="C62" s="118">
        <f t="shared" ca="1" si="25"/>
        <v>0.33391381898696937</v>
      </c>
      <c r="D62" s="118">
        <f t="shared" ca="1" si="25"/>
        <v>0.37290571837387915</v>
      </c>
      <c r="E62" s="118">
        <f t="shared" ca="1" si="25"/>
        <v>0.31574457936237421</v>
      </c>
      <c r="F62" s="118">
        <f t="shared" ca="1" si="25"/>
        <v>0.26771732597477699</v>
      </c>
      <c r="G62" s="118">
        <f t="shared" ca="1" si="25"/>
        <v>0.35416446849190458</v>
      </c>
      <c r="H62" s="118">
        <f t="shared" ca="1" si="25"/>
        <v>0.32509085795518072</v>
      </c>
      <c r="I62" s="118">
        <f t="shared" ca="1" si="25"/>
        <v>0.34914254098830699</v>
      </c>
      <c r="J62" s="118">
        <f t="shared" ca="1" si="25"/>
        <v>0.36711337853685622</v>
      </c>
      <c r="K62" s="118">
        <f t="shared" ca="1" si="25"/>
        <v>0.33589252806113606</v>
      </c>
      <c r="L62" s="118">
        <f t="shared" ca="1" si="25"/>
        <v>0.35359307790598388</v>
      </c>
      <c r="M62" s="118">
        <f t="shared" ca="1" si="25"/>
        <v>0.30888053391795067</v>
      </c>
      <c r="N62" s="118">
        <f t="shared" ca="1" si="25"/>
        <v>0.34168529934180675</v>
      </c>
      <c r="O62" s="118">
        <f t="shared" ca="1" si="25"/>
        <v>0.36725273770676126</v>
      </c>
      <c r="P62" s="118">
        <f t="shared" ca="1" si="25"/>
        <v>0.34665282229344907</v>
      </c>
      <c r="Q62" s="118">
        <f t="shared" ca="1" si="25"/>
        <v>0.3066026823371138</v>
      </c>
      <c r="R62" s="118">
        <f t="shared" ca="1" si="25"/>
        <v>0.35486847961840345</v>
      </c>
      <c r="S62" s="118">
        <f t="shared" ca="1" si="25"/>
        <v>0.32987783743701976</v>
      </c>
      <c r="T62" s="118">
        <f t="shared" ca="1" si="25"/>
        <v>0.33906068819605412</v>
      </c>
      <c r="U62" s="118">
        <f t="shared" ca="1" si="25"/>
        <v>0.25428393276907874</v>
      </c>
      <c r="V62" s="118">
        <f t="shared" ca="1" si="25"/>
        <v>0.36016792465120662</v>
      </c>
      <c r="W62" s="118">
        <f t="shared" ca="1" si="25"/>
        <v>0.37495329789427606</v>
      </c>
      <c r="X62" s="118">
        <f t="shared" ca="1" si="25"/>
        <v>0.30429164395633801</v>
      </c>
      <c r="Y62" s="118">
        <f t="shared" ca="1" si="25"/>
        <v>0.28005905642431977</v>
      </c>
      <c r="Z62" s="118">
        <f t="shared" ca="1" si="25"/>
        <v>0.36671938425247719</v>
      </c>
      <c r="AA62" s="118">
        <f t="shared" ca="1" si="25"/>
        <v>0.32581574679495745</v>
      </c>
      <c r="AB62" s="118">
        <f t="shared" ca="1" si="25"/>
        <v>0.36419473113931383</v>
      </c>
      <c r="AC62" s="118">
        <f t="shared" ca="1" si="25"/>
        <v>0.31801706394807266</v>
      </c>
      <c r="AD62" s="118">
        <f t="shared" ca="1" si="25"/>
        <v>0.2580263419324843</v>
      </c>
      <c r="AE62" s="118">
        <f t="shared" ca="1" si="25"/>
        <v>0.30692853047720497</v>
      </c>
      <c r="AF62" s="118">
        <f t="shared" ca="1" si="25"/>
        <v>0.31939911442336655</v>
      </c>
      <c r="AG62" s="118">
        <f t="shared" ca="1" si="25"/>
        <v>0.28591712194864721</v>
      </c>
      <c r="AH62" s="118">
        <f t="shared" ref="AH62:BM62" ca="1" si="26">(AH51-AH63)/AH51</f>
        <v>0.28381131101808638</v>
      </c>
      <c r="AI62" s="118">
        <f t="shared" ca="1" si="26"/>
        <v>0.3290080920795726</v>
      </c>
      <c r="AJ62" s="118">
        <f t="shared" ca="1" si="26"/>
        <v>0.37526546749217782</v>
      </c>
      <c r="AK62" s="118">
        <f t="shared" ca="1" si="26"/>
        <v>0.34457975770843552</v>
      </c>
      <c r="AL62" s="118">
        <f t="shared" ca="1" si="26"/>
        <v>0.31909192732662517</v>
      </c>
      <c r="AM62" s="118">
        <f t="shared" ca="1" si="26"/>
        <v>0.32564626073554298</v>
      </c>
      <c r="AN62" s="118">
        <f t="shared" ca="1" si="26"/>
        <v>0.25971746138668306</v>
      </c>
      <c r="AO62" s="118">
        <f t="shared" ca="1" si="26"/>
        <v>8.9719467476888734E-2</v>
      </c>
      <c r="AP62" s="118">
        <f t="shared" ca="1" si="26"/>
        <v>0.2967402323176343</v>
      </c>
      <c r="AQ62" s="118">
        <f t="shared" ca="1" si="26"/>
        <v>0.3346105715485394</v>
      </c>
      <c r="AR62" s="118">
        <f t="shared" ca="1" si="26"/>
        <v>0.14919244200222231</v>
      </c>
      <c r="AS62" s="118">
        <f t="shared" ca="1" si="26"/>
        <v>0.35066168144391507</v>
      </c>
      <c r="AT62" s="118">
        <f t="shared" ca="1" si="26"/>
        <v>0.35394389741919918</v>
      </c>
      <c r="AU62" s="118">
        <f t="shared" ca="1" si="26"/>
        <v>0.31655758283852053</v>
      </c>
      <c r="AV62" s="118">
        <f t="shared" ca="1" si="26"/>
        <v>0.2829604164648874</v>
      </c>
      <c r="AW62" s="118">
        <f t="shared" ca="1" si="26"/>
        <v>0.38449844695370272</v>
      </c>
      <c r="AX62" s="118">
        <f t="shared" ca="1" si="26"/>
        <v>0.32721003787862857</v>
      </c>
      <c r="AY62" s="118">
        <f t="shared" ca="1" si="26"/>
        <v>0.26011993157865393</v>
      </c>
      <c r="AZ62" s="118">
        <f t="shared" ca="1" si="26"/>
        <v>0.32419804292555821</v>
      </c>
      <c r="BA62" s="118">
        <f t="shared" ca="1" si="26"/>
        <v>0.22774950182468406</v>
      </c>
      <c r="BB62" s="118">
        <f t="shared" ca="1" si="26"/>
        <v>0.31813827815175538</v>
      </c>
      <c r="BC62" s="118">
        <f t="shared" ca="1" si="26"/>
        <v>0.36161220690569296</v>
      </c>
      <c r="BD62" s="118">
        <f t="shared" ca="1" si="26"/>
        <v>0.31330079913714526</v>
      </c>
      <c r="BE62" s="118">
        <f t="shared" ca="1" si="26"/>
        <v>0.3462864300459379</v>
      </c>
      <c r="BF62" s="118">
        <f t="shared" ca="1" si="26"/>
        <v>0.33835012848627954</v>
      </c>
      <c r="BG62" s="118">
        <f t="shared" ca="1" si="26"/>
        <v>0.34561655707263028</v>
      </c>
      <c r="BH62" s="118">
        <f t="shared" ca="1" si="26"/>
        <v>0.30870581610077791</v>
      </c>
      <c r="BI62" s="119">
        <f t="shared" ca="1" si="26"/>
        <v>0.3241662780961802</v>
      </c>
      <c r="BJ62" s="17" t="str">
        <f>A62</f>
        <v>Gross Margin Rate</v>
      </c>
      <c r="BK62" s="118">
        <f ca="1">(BK51-BK63)/BK51</f>
        <v>0.3406799600300075</v>
      </c>
      <c r="BL62" s="118">
        <f ca="1">(BL51-BL63)/BL51</f>
        <v>0.33240526331745107</v>
      </c>
      <c r="BM62" s="118">
        <f ca="1">(BM51-BM63)/BM51</f>
        <v>0.33049210219317932</v>
      </c>
      <c r="BN62" s="118">
        <f ca="1">(BN51-BN63)/BN51</f>
        <v>0.30873473795325385</v>
      </c>
      <c r="BO62" s="118">
        <f ca="1">(BO51-BO63)/BO51</f>
        <v>0.32446868276658219</v>
      </c>
    </row>
    <row r="63" spans="1:67" ht="13.4" customHeight="1">
      <c r="A63" s="5" t="s">
        <v>240</v>
      </c>
      <c r="B63" s="27">
        <f t="shared" ref="B63:AG63" ca="1" si="27">SUM(B56:B60)</f>
        <v>116095.54895116025</v>
      </c>
      <c r="C63" s="27">
        <f t="shared" ca="1" si="27"/>
        <v>234372.11721488001</v>
      </c>
      <c r="D63" s="27">
        <f t="shared" ca="1" si="27"/>
        <v>430896.85539438215</v>
      </c>
      <c r="E63" s="27">
        <f t="shared" ca="1" si="27"/>
        <v>330111.92643982894</v>
      </c>
      <c r="F63" s="27">
        <f t="shared" ca="1" si="27"/>
        <v>474165.43189790979</v>
      </c>
      <c r="G63" s="27">
        <f t="shared" ca="1" si="27"/>
        <v>716742.52822229569</v>
      </c>
      <c r="H63" s="27">
        <f t="shared" ca="1" si="27"/>
        <v>721402.38327688584</v>
      </c>
      <c r="I63" s="27">
        <f t="shared" ca="1" si="27"/>
        <v>972479.66722784657</v>
      </c>
      <c r="J63" s="27">
        <f t="shared" ca="1" si="27"/>
        <v>1194150.9069394013</v>
      </c>
      <c r="K63" s="27">
        <f t="shared" ca="1" si="27"/>
        <v>1242961.1942492786</v>
      </c>
      <c r="L63" s="27">
        <f t="shared" ca="1" si="27"/>
        <v>1415134.1516626305</v>
      </c>
      <c r="M63" s="27">
        <f t="shared" ca="1" si="27"/>
        <v>968817.05020807695</v>
      </c>
      <c r="N63" s="27">
        <f t="shared" ca="1" si="27"/>
        <v>1944939.1495931689</v>
      </c>
      <c r="O63" s="27">
        <f t="shared" ca="1" si="27"/>
        <v>1851743.2984203589</v>
      </c>
      <c r="P63" s="27">
        <f t="shared" ca="1" si="27"/>
        <v>2359788.4992260896</v>
      </c>
      <c r="Q63" s="27">
        <f t="shared" ca="1" si="27"/>
        <v>2162865.1044358131</v>
      </c>
      <c r="R63" s="27">
        <f t="shared" ca="1" si="27"/>
        <v>2283962.5939528672</v>
      </c>
      <c r="S63" s="27">
        <f t="shared" ca="1" si="27"/>
        <v>1956440.4415358347</v>
      </c>
      <c r="T63" s="27">
        <f t="shared" ca="1" si="27"/>
        <v>2016801.6210216496</v>
      </c>
      <c r="U63" s="27">
        <f t="shared" ca="1" si="27"/>
        <v>2131506.8898255918</v>
      </c>
      <c r="V63" s="27">
        <f t="shared" ca="1" si="27"/>
        <v>2965412.4075143952</v>
      </c>
      <c r="W63" s="27">
        <f t="shared" ca="1" si="27"/>
        <v>3252185.7405890925</v>
      </c>
      <c r="X63" s="27">
        <f t="shared" ca="1" si="27"/>
        <v>3389917.6576634767</v>
      </c>
      <c r="Y63" s="27">
        <f t="shared" ca="1" si="27"/>
        <v>2511378.4293902577</v>
      </c>
      <c r="Z63" s="27">
        <f t="shared" ca="1" si="27"/>
        <v>4365258.1684004785</v>
      </c>
      <c r="AA63" s="27">
        <f t="shared" ca="1" si="27"/>
        <v>3629502.3265789356</v>
      </c>
      <c r="AB63" s="27">
        <f t="shared" ca="1" si="27"/>
        <v>3081977.8111813031</v>
      </c>
      <c r="AC63" s="27">
        <f t="shared" ca="1" si="27"/>
        <v>5080155.3849815596</v>
      </c>
      <c r="AD63" s="27">
        <f t="shared" ca="1" si="27"/>
        <v>3473560.6102617132</v>
      </c>
      <c r="AE63" s="27">
        <f t="shared" ca="1" si="27"/>
        <v>5664367.6045392137</v>
      </c>
      <c r="AF63" s="27">
        <f t="shared" ca="1" si="27"/>
        <v>3616403.595678308</v>
      </c>
      <c r="AG63" s="27">
        <f t="shared" ca="1" si="27"/>
        <v>2551428.3844076786</v>
      </c>
      <c r="AH63" s="27">
        <f t="shared" ref="AH63:BI63" ca="1" si="28">SUM(AH56:AH60)</f>
        <v>3013564.9587263511</v>
      </c>
      <c r="AI63" s="27">
        <f t="shared" ca="1" si="28"/>
        <v>4042978.5243019592</v>
      </c>
      <c r="AJ63" s="27">
        <f t="shared" ca="1" si="28"/>
        <v>7921019.1410720758</v>
      </c>
      <c r="AK63" s="27">
        <f t="shared" ca="1" si="28"/>
        <v>4314661.7329991739</v>
      </c>
      <c r="AL63" s="27">
        <f t="shared" ca="1" si="28"/>
        <v>7002867.9946893547</v>
      </c>
      <c r="AM63" s="27">
        <f t="shared" ca="1" si="28"/>
        <v>7542502.6046555135</v>
      </c>
      <c r="AN63" s="27">
        <f t="shared" ca="1" si="28"/>
        <v>6587607.8463663813</v>
      </c>
      <c r="AO63" s="27">
        <f t="shared" ca="1" si="28"/>
        <v>3887077.2997935172</v>
      </c>
      <c r="AP63" s="27">
        <f t="shared" ca="1" si="28"/>
        <v>3717273.1876284955</v>
      </c>
      <c r="AQ63" s="27">
        <f t="shared" ca="1" si="28"/>
        <v>5231629.5430293661</v>
      </c>
      <c r="AR63" s="27">
        <f t="shared" ca="1" si="28"/>
        <v>4177758.1611159025</v>
      </c>
      <c r="AS63" s="27">
        <f t="shared" ca="1" si="28"/>
        <v>7210442.62832026</v>
      </c>
      <c r="AT63" s="27">
        <f t="shared" ca="1" si="28"/>
        <v>7377057.7982538845</v>
      </c>
      <c r="AU63" s="27">
        <f t="shared" ca="1" si="28"/>
        <v>7061172.9345622798</v>
      </c>
      <c r="AV63" s="27">
        <f t="shared" ca="1" si="28"/>
        <v>8121431.8428783398</v>
      </c>
      <c r="AW63" s="27">
        <f t="shared" ca="1" si="28"/>
        <v>7705010.2159045395</v>
      </c>
      <c r="AX63" s="27">
        <f t="shared" ca="1" si="28"/>
        <v>7543485.6011852548</v>
      </c>
      <c r="AY63" s="27">
        <f t="shared" ca="1" si="28"/>
        <v>6616113.6517759711</v>
      </c>
      <c r="AZ63" s="27">
        <f t="shared" ca="1" si="28"/>
        <v>8523606.0934075657</v>
      </c>
      <c r="BA63" s="27">
        <f t="shared" ca="1" si="28"/>
        <v>6262177.1755646709</v>
      </c>
      <c r="BB63" s="27">
        <f t="shared" ca="1" si="28"/>
        <v>7574366.723540049</v>
      </c>
      <c r="BC63" s="27">
        <f t="shared" ca="1" si="28"/>
        <v>10249198.919184051</v>
      </c>
      <c r="BD63" s="27">
        <f t="shared" ca="1" si="28"/>
        <v>11032436.85694517</v>
      </c>
      <c r="BE63" s="27">
        <f t="shared" ca="1" si="28"/>
        <v>13964503.436901405</v>
      </c>
      <c r="BF63" s="27">
        <f t="shared" ca="1" si="28"/>
        <v>14107637.937465053</v>
      </c>
      <c r="BG63" s="27">
        <f t="shared" ca="1" si="28"/>
        <v>12586415.029411091</v>
      </c>
      <c r="BH63" s="27">
        <f t="shared" ca="1" si="28"/>
        <v>7771610.3635536712</v>
      </c>
      <c r="BI63" s="97">
        <f t="shared" ca="1" si="28"/>
        <v>12957126.209222339</v>
      </c>
      <c r="BJ63" s="8" t="str">
        <f>A63</f>
        <v>Total COGS</v>
      </c>
      <c r="BK63" s="115">
        <f ca="1">SUMIFS($B63:$BI63,$B$4:$BI$4,"&lt;=12")</f>
        <v>8817329.761684576</v>
      </c>
      <c r="BL63" s="115">
        <f ca="1">SUMIFS($B63:$BI63,$B$4:$BI$4,"&lt;=24",$B$4:$BI$4,"&gt;12")</f>
        <v>28826941.833168596</v>
      </c>
      <c r="BM63" s="115">
        <f ca="1">SUMIFS($B63:$BI63,$B$4:$BI$4,"&lt;=36",$B$4:$BI$4,"&gt;24")</f>
        <v>50754878.243128762</v>
      </c>
      <c r="BN63" s="115">
        <f ca="1">SUMIFS($B63:$BI63,$B$4:$BI$4,"&lt;=48",$B$4:$BI$4,"&gt;36")</f>
        <v>75621832.057197824</v>
      </c>
      <c r="BO63" s="115">
        <f ca="1">SUMIFS($B63:$BI63,$B$4:$BI$4,"&lt;=60",$B$4:$BI$4,"&gt;48")</f>
        <v>119188677.99815631</v>
      </c>
    </row>
    <row r="64" spans="1:67" ht="13.4" customHeight="1">
      <c r="A64" s="82" t="s">
        <v>241</v>
      </c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3" t="str">
        <f>A64</f>
        <v>Consolidated Operating Expenses Schedule</v>
      </c>
      <c r="BK64" s="120"/>
      <c r="BL64" s="120"/>
      <c r="BM64" s="120"/>
      <c r="BN64" s="120"/>
      <c r="BO64" s="120"/>
    </row>
    <row r="65" spans="1:67" ht="12.95" customHeight="1">
      <c r="A65" s="121"/>
      <c r="B65" s="122" t="s">
        <v>151</v>
      </c>
      <c r="C65" s="122" t="s">
        <v>152</v>
      </c>
      <c r="D65" s="122" t="s">
        <v>153</v>
      </c>
      <c r="E65" s="122" t="s">
        <v>154</v>
      </c>
      <c r="F65" s="122" t="s">
        <v>155</v>
      </c>
      <c r="G65" s="122" t="s">
        <v>156</v>
      </c>
      <c r="H65" s="122" t="s">
        <v>157</v>
      </c>
      <c r="I65" s="122" t="s">
        <v>158</v>
      </c>
      <c r="J65" s="122" t="s">
        <v>159</v>
      </c>
      <c r="K65" s="122" t="s">
        <v>160</v>
      </c>
      <c r="L65" s="122" t="s">
        <v>161</v>
      </c>
      <c r="M65" s="122" t="s">
        <v>162</v>
      </c>
      <c r="N65" s="122" t="s">
        <v>163</v>
      </c>
      <c r="O65" s="122" t="s">
        <v>164</v>
      </c>
      <c r="P65" s="122" t="s">
        <v>165</v>
      </c>
      <c r="Q65" s="122" t="s">
        <v>166</v>
      </c>
      <c r="R65" s="122" t="s">
        <v>167</v>
      </c>
      <c r="S65" s="122" t="s">
        <v>168</v>
      </c>
      <c r="T65" s="122" t="s">
        <v>169</v>
      </c>
      <c r="U65" s="122" t="s">
        <v>170</v>
      </c>
      <c r="V65" s="122" t="s">
        <v>171</v>
      </c>
      <c r="W65" s="122" t="s">
        <v>172</v>
      </c>
      <c r="X65" s="122" t="s">
        <v>173</v>
      </c>
      <c r="Y65" s="122" t="s">
        <v>174</v>
      </c>
      <c r="Z65" s="122" t="s">
        <v>175</v>
      </c>
      <c r="AA65" s="122" t="s">
        <v>176</v>
      </c>
      <c r="AB65" s="122" t="s">
        <v>177</v>
      </c>
      <c r="AC65" s="122" t="s">
        <v>178</v>
      </c>
      <c r="AD65" s="122" t="s">
        <v>179</v>
      </c>
      <c r="AE65" s="122" t="s">
        <v>180</v>
      </c>
      <c r="AF65" s="122" t="s">
        <v>181</v>
      </c>
      <c r="AG65" s="122" t="s">
        <v>182</v>
      </c>
      <c r="AH65" s="122" t="s">
        <v>183</v>
      </c>
      <c r="AI65" s="122" t="s">
        <v>184</v>
      </c>
      <c r="AJ65" s="122" t="s">
        <v>185</v>
      </c>
      <c r="AK65" s="122" t="s">
        <v>186</v>
      </c>
      <c r="AL65" s="122" t="s">
        <v>187</v>
      </c>
      <c r="AM65" s="122" t="s">
        <v>188</v>
      </c>
      <c r="AN65" s="122" t="s">
        <v>189</v>
      </c>
      <c r="AO65" s="122" t="s">
        <v>190</v>
      </c>
      <c r="AP65" s="122" t="s">
        <v>191</v>
      </c>
      <c r="AQ65" s="122" t="s">
        <v>192</v>
      </c>
      <c r="AR65" s="122" t="s">
        <v>193</v>
      </c>
      <c r="AS65" s="122" t="s">
        <v>194</v>
      </c>
      <c r="AT65" s="122" t="s">
        <v>195</v>
      </c>
      <c r="AU65" s="122" t="s">
        <v>196</v>
      </c>
      <c r="AV65" s="122" t="s">
        <v>197</v>
      </c>
      <c r="AW65" s="122" t="s">
        <v>198</v>
      </c>
      <c r="AX65" s="122" t="s">
        <v>199</v>
      </c>
      <c r="AY65" s="122" t="s">
        <v>200</v>
      </c>
      <c r="AZ65" s="122" t="s">
        <v>201</v>
      </c>
      <c r="BA65" s="122" t="s">
        <v>202</v>
      </c>
      <c r="BB65" s="122" t="s">
        <v>203</v>
      </c>
      <c r="BC65" s="122" t="s">
        <v>204</v>
      </c>
      <c r="BD65" s="122" t="s">
        <v>205</v>
      </c>
      <c r="BE65" s="122" t="s">
        <v>206</v>
      </c>
      <c r="BF65" s="122" t="s">
        <v>207</v>
      </c>
      <c r="BG65" s="122" t="s">
        <v>208</v>
      </c>
      <c r="BH65" s="122" t="s">
        <v>209</v>
      </c>
      <c r="BI65" s="123" t="s">
        <v>210</v>
      </c>
      <c r="BJ65" s="124">
        <f>A65</f>
        <v>0</v>
      </c>
      <c r="BK65" s="81" t="s">
        <v>151</v>
      </c>
      <c r="BL65" s="81" t="s">
        <v>152</v>
      </c>
      <c r="BM65" s="81" t="s">
        <v>153</v>
      </c>
      <c r="BN65" s="81" t="s">
        <v>154</v>
      </c>
      <c r="BO65" s="81" t="s">
        <v>155</v>
      </c>
    </row>
    <row r="66" spans="1:67" ht="13.4" customHeight="1">
      <c r="A66" s="6" t="s">
        <v>242</v>
      </c>
      <c r="B66" s="125">
        <f>'Assumption Table'!$C$70</f>
        <v>650</v>
      </c>
      <c r="C66" s="125">
        <f>'Assumption Table'!$C$70</f>
        <v>650</v>
      </c>
      <c r="D66" s="125">
        <f>'Assumption Table'!$C$70</f>
        <v>650</v>
      </c>
      <c r="E66" s="125">
        <f>'Assumption Table'!$C$70</f>
        <v>650</v>
      </c>
      <c r="F66" s="125">
        <f>'Assumption Table'!$C$70</f>
        <v>650</v>
      </c>
      <c r="G66" s="125">
        <f>'Assumption Table'!$C$70</f>
        <v>650</v>
      </c>
      <c r="H66" s="125">
        <f>'Assumption Table'!$C$70</f>
        <v>650</v>
      </c>
      <c r="I66" s="125">
        <f>'Assumption Table'!$C$70</f>
        <v>650</v>
      </c>
      <c r="J66" s="125">
        <f>'Assumption Table'!$C$70</f>
        <v>650</v>
      </c>
      <c r="K66" s="125">
        <f>'Assumption Table'!$C$70</f>
        <v>650</v>
      </c>
      <c r="L66" s="125">
        <f>'Assumption Table'!$C$70</f>
        <v>650</v>
      </c>
      <c r="M66" s="125">
        <f>'Assumption Table'!$C$70</f>
        <v>650</v>
      </c>
      <c r="N66" s="125">
        <f>'Assumption Table'!$C$70</f>
        <v>650</v>
      </c>
      <c r="O66" s="125">
        <f>'Assumption Table'!$C$70</f>
        <v>650</v>
      </c>
      <c r="P66" s="125">
        <f>'Assumption Table'!$C$70</f>
        <v>650</v>
      </c>
      <c r="Q66" s="125">
        <f>'Assumption Table'!$C$70</f>
        <v>650</v>
      </c>
      <c r="R66" s="125">
        <f>'Assumption Table'!$C$70</f>
        <v>650</v>
      </c>
      <c r="S66" s="125">
        <f>'Assumption Table'!$C$70</f>
        <v>650</v>
      </c>
      <c r="T66" s="125">
        <f>'Assumption Table'!$C$70</f>
        <v>650</v>
      </c>
      <c r="U66" s="125">
        <f>'Assumption Table'!$C$70</f>
        <v>650</v>
      </c>
      <c r="V66" s="125">
        <f>'Assumption Table'!$C$70</f>
        <v>650</v>
      </c>
      <c r="W66" s="125">
        <f>'Assumption Table'!$C$70</f>
        <v>650</v>
      </c>
      <c r="X66" s="125">
        <f>'Assumption Table'!$C$70</f>
        <v>650</v>
      </c>
      <c r="Y66" s="125">
        <f>'Assumption Table'!$C$70</f>
        <v>650</v>
      </c>
      <c r="Z66" s="125">
        <f>'Assumption Table'!$C$70</f>
        <v>650</v>
      </c>
      <c r="AA66" s="125">
        <f>'Assumption Table'!$C$70</f>
        <v>650</v>
      </c>
      <c r="AB66" s="125">
        <f>'Assumption Table'!$C$70</f>
        <v>650</v>
      </c>
      <c r="AC66" s="125">
        <f>'Assumption Table'!$C$70</f>
        <v>650</v>
      </c>
      <c r="AD66" s="125">
        <f>'Assumption Table'!$C$70</f>
        <v>650</v>
      </c>
      <c r="AE66" s="125">
        <f>'Assumption Table'!$C$70</f>
        <v>650</v>
      </c>
      <c r="AF66" s="125">
        <f>'Assumption Table'!$C$70</f>
        <v>650</v>
      </c>
      <c r="AG66" s="125">
        <f>'Assumption Table'!$C$70</f>
        <v>650</v>
      </c>
      <c r="AH66" s="125">
        <f>'Assumption Table'!$C$70</f>
        <v>650</v>
      </c>
      <c r="AI66" s="125">
        <f>'Assumption Table'!$C$70</f>
        <v>650</v>
      </c>
      <c r="AJ66" s="125">
        <f>'Assumption Table'!$C$70</f>
        <v>650</v>
      </c>
      <c r="AK66" s="125">
        <f>'Assumption Table'!$C$70</f>
        <v>650</v>
      </c>
      <c r="AL66" s="125">
        <f>'Assumption Table'!$C$70</f>
        <v>650</v>
      </c>
      <c r="AM66" s="125">
        <f>'Assumption Table'!$C$70</f>
        <v>650</v>
      </c>
      <c r="AN66" s="125">
        <f>'Assumption Table'!$C$70</f>
        <v>650</v>
      </c>
      <c r="AO66" s="125">
        <f>'Assumption Table'!$C$70</f>
        <v>650</v>
      </c>
      <c r="AP66" s="125">
        <f>'Assumption Table'!$C$70</f>
        <v>650</v>
      </c>
      <c r="AQ66" s="125">
        <f>'Assumption Table'!$C$70</f>
        <v>650</v>
      </c>
      <c r="AR66" s="125">
        <f>'Assumption Table'!$C$70</f>
        <v>650</v>
      </c>
      <c r="AS66" s="125">
        <f>'Assumption Table'!$C$70</f>
        <v>650</v>
      </c>
      <c r="AT66" s="125">
        <f>'Assumption Table'!$C$70</f>
        <v>650</v>
      </c>
      <c r="AU66" s="125">
        <f>'Assumption Table'!$C$70</f>
        <v>650</v>
      </c>
      <c r="AV66" s="125">
        <f>'Assumption Table'!$C$70</f>
        <v>650</v>
      </c>
      <c r="AW66" s="125">
        <f>'Assumption Table'!$C$70</f>
        <v>650</v>
      </c>
      <c r="AX66" s="125">
        <f>'Assumption Table'!$C$70</f>
        <v>650</v>
      </c>
      <c r="AY66" s="125">
        <f>'Assumption Table'!$C$70</f>
        <v>650</v>
      </c>
      <c r="AZ66" s="125">
        <f>'Assumption Table'!$C$70</f>
        <v>650</v>
      </c>
      <c r="BA66" s="125">
        <f>'Assumption Table'!$C$70</f>
        <v>650</v>
      </c>
      <c r="BB66" s="125">
        <f>'Assumption Table'!$C$70</f>
        <v>650</v>
      </c>
      <c r="BC66" s="125">
        <f>'Assumption Table'!$C$70</f>
        <v>650</v>
      </c>
      <c r="BD66" s="125">
        <f>'Assumption Table'!$C$70</f>
        <v>650</v>
      </c>
      <c r="BE66" s="125">
        <f>'Assumption Table'!$C$70</f>
        <v>650</v>
      </c>
      <c r="BF66" s="125">
        <f>'Assumption Table'!$C$70</f>
        <v>650</v>
      </c>
      <c r="BG66" s="125">
        <f>'Assumption Table'!$C$70</f>
        <v>650</v>
      </c>
      <c r="BH66" s="125">
        <f>'Assumption Table'!$C$70</f>
        <v>650</v>
      </c>
      <c r="BI66" s="125">
        <f>'Assumption Table'!$C$70</f>
        <v>650</v>
      </c>
      <c r="BJ66" s="19" t="s">
        <v>243</v>
      </c>
      <c r="BK66" s="115">
        <f>SUMIFS($B66:$BI66,$B$4:$BI$4,"&lt;=12")</f>
        <v>7800</v>
      </c>
      <c r="BL66" s="115">
        <f>SUMIFS($B66:$BI66,$B$4:$BI$4,"&lt;=24",$B$4:$BI$4,"&gt;12")</f>
        <v>7800</v>
      </c>
      <c r="BM66" s="115">
        <f>SUMIFS($B66:$BI66,$B$4:$BI$4,"&lt;=36",$B$4:$BI$4,"&gt;24")</f>
        <v>7800</v>
      </c>
      <c r="BN66" s="115">
        <f>SUMIFS($B66:$BI66,$B$4:$BI$4,"&lt;=48",$B$4:$BI$4,"&gt;36")</f>
        <v>7800</v>
      </c>
      <c r="BO66" s="115">
        <f>SUMIFS($B66:$BI66,$B$4:$BI$4,"&lt;=60",$B$4:$BI$4,"&gt;48")</f>
        <v>7800</v>
      </c>
    </row>
    <row r="67" spans="1:67" ht="13.4" customHeight="1">
      <c r="A67" s="6" t="s">
        <v>63</v>
      </c>
      <c r="B67" s="27">
        <f ca="1">B51*'Assumption Table'!$C$71</f>
        <v>9104.2815548040799</v>
      </c>
      <c r="C67" s="27">
        <f ca="1">C51*'Assumption Table'!$C$71</f>
        <v>17593.227715551046</v>
      </c>
      <c r="D67" s="27">
        <f ca="1">D51*'Assumption Table'!$C$71</f>
        <v>34356.62451561683</v>
      </c>
      <c r="E67" s="27">
        <f ca="1">E51*'Assumption Table'!$C$71</f>
        <v>24121.981096782034</v>
      </c>
      <c r="F67" s="27">
        <f ca="1">F51*'Assumption Table'!$C$71</f>
        <v>32375.846699438465</v>
      </c>
      <c r="G67" s="27">
        <f ca="1">G51*'Assumption Table'!$C$71</f>
        <v>55489.555254773986</v>
      </c>
      <c r="H67" s="27">
        <f ca="1">H51*'Assumption Table'!$C$71</f>
        <v>53444.407427287384</v>
      </c>
      <c r="I67" s="27">
        <f ca="1">I51*'Assumption Table'!$C$71</f>
        <v>74707.57642576049</v>
      </c>
      <c r="J67" s="27">
        <f ca="1">J51*'Assumption Table'!$C$71</f>
        <v>94341.613998625413</v>
      </c>
      <c r="K67" s="27">
        <f ca="1">K51*'Assumption Table'!$C$71</f>
        <v>93581.328833754073</v>
      </c>
      <c r="L67" s="27">
        <f ca="1">L51*'Assumption Table'!$C$71</f>
        <v>109461.55612615852</v>
      </c>
      <c r="M67" s="27">
        <f ca="1">M51*'Assumption Table'!$C$71</f>
        <v>70090.418354173482</v>
      </c>
      <c r="N67" s="27">
        <f ca="1">N51*'Assumption Table'!$C$71</f>
        <v>147721.07835724985</v>
      </c>
      <c r="O67" s="27">
        <f ca="1">O51*'Assumption Table'!$C$71</f>
        <v>146325.66656307332</v>
      </c>
      <c r="P67" s="27">
        <f ca="1">P51*'Assumption Table'!$C$71</f>
        <v>180592.23179854173</v>
      </c>
      <c r="Q67" s="27">
        <f ca="1">Q51*'Assumption Table'!$C$71</f>
        <v>155961.45596047348</v>
      </c>
      <c r="R67" s="27">
        <f ca="1">R51*'Assumption Table'!$C$71</f>
        <v>177015.26911922541</v>
      </c>
      <c r="S67" s="27">
        <f ca="1">S51*'Assumption Table'!$C$71</f>
        <v>145976.40182896968</v>
      </c>
      <c r="T67" s="27">
        <f ca="1">T51*'Assumption Table'!$C$71</f>
        <v>152570.86278595368</v>
      </c>
      <c r="U67" s="27">
        <f ca="1">U51*'Assumption Table'!$C$71</f>
        <v>142916.78719895016</v>
      </c>
      <c r="V67" s="27">
        <f ca="1">V51*'Assumption Table'!$C$71</f>
        <v>231733.64713685634</v>
      </c>
      <c r="W67" s="27">
        <f ca="1">W51*'Assumption Table'!$C$71</f>
        <v>260155.41955767327</v>
      </c>
      <c r="X67" s="27">
        <f ca="1">X51*'Assumption Table'!$C$71</f>
        <v>243630.65559117193</v>
      </c>
      <c r="Y67" s="27">
        <f ca="1">Y51*'Assumption Table'!$C$71</f>
        <v>174415.58587550046</v>
      </c>
      <c r="Z67" s="27">
        <f ca="1">Z51*'Assumption Table'!$C$71</f>
        <v>344654.33331223467</v>
      </c>
      <c r="AA67" s="27">
        <f ca="1">AA51*'Assumption Table'!$C$71</f>
        <v>269177.32869942009</v>
      </c>
      <c r="AB67" s="27">
        <f ca="1">AB51*'Assumption Table'!$C$71</f>
        <v>242368.06158463965</v>
      </c>
      <c r="AC67" s="27">
        <f ca="1">AC51*'Assumption Table'!$C$71</f>
        <v>372454.72844167677</v>
      </c>
      <c r="AD67" s="27">
        <f ca="1">AD51*'Assumption Table'!$C$71</f>
        <v>234075.73655031549</v>
      </c>
      <c r="AE67" s="27">
        <f ca="1">AE51*'Assumption Table'!$C$71</f>
        <v>408642.38780737412</v>
      </c>
      <c r="AF67" s="27">
        <f ca="1">AF51*'Assumption Table'!$C$71</f>
        <v>265677.2619840437</v>
      </c>
      <c r="AG67" s="27">
        <f ca="1">AG51*'Assumption Table'!$C$71</f>
        <v>178650.71848314186</v>
      </c>
      <c r="AH67" s="27">
        <f ca="1">AH51*'Assumption Table'!$C$71</f>
        <v>210389.03609398214</v>
      </c>
      <c r="AI67" s="27">
        <f ca="1">AI51*'Assumption Table'!$C$71</f>
        <v>301268.79896600888</v>
      </c>
      <c r="AJ67" s="27">
        <f ca="1">AJ51*'Assumption Table'!$C$71</f>
        <v>633950.80061249051</v>
      </c>
      <c r="AK67" s="27">
        <f ca="1">AK51*'Assumption Table'!$C$71</f>
        <v>329152.30981527967</v>
      </c>
      <c r="AL67" s="27">
        <f ca="1">AL51*'Assumption Table'!$C$71</f>
        <v>514230.06098273746</v>
      </c>
      <c r="AM67" s="27">
        <f ca="1">AM51*'Assumption Table'!$C$71</f>
        <v>559239.32540823496</v>
      </c>
      <c r="AN67" s="27">
        <f ca="1">AN51*'Assumption Table'!$C$71</f>
        <v>444938.75667432073</v>
      </c>
      <c r="AO67" s="27">
        <f ca="1">AO51*'Assumption Table'!$C$71</f>
        <v>213509.85552878599</v>
      </c>
      <c r="AP67" s="27">
        <f ca="1">AP51*'Assumption Table'!$C$71</f>
        <v>264288.77055479726</v>
      </c>
      <c r="AQ67" s="27">
        <f ca="1">AQ51*'Assumption Table'!$C$71</f>
        <v>393125.38788035524</v>
      </c>
      <c r="AR67" s="27">
        <f ca="1">AR51*'Assumption Table'!$C$71</f>
        <v>245517.22195248853</v>
      </c>
      <c r="AS67" s="27">
        <f ca="1">AS51*'Assumption Table'!$C$71</f>
        <v>555214.62558639038</v>
      </c>
      <c r="AT67" s="27">
        <f ca="1">AT51*'Assumption Table'!$C$71</f>
        <v>570930.12269249884</v>
      </c>
      <c r="AU67" s="27">
        <f ca="1">AU51*'Assumption Table'!$C$71</f>
        <v>516588.7247596684</v>
      </c>
      <c r="AV67" s="27">
        <f ca="1">AV51*'Assumption Table'!$C$71</f>
        <v>566316.84145235491</v>
      </c>
      <c r="AW67" s="27">
        <f ca="1">AW51*'Assumption Table'!$C$71</f>
        <v>625913.14171103144</v>
      </c>
      <c r="AX67" s="27">
        <f ca="1">AX51*'Assumption Table'!$C$71</f>
        <v>560612.22862183617</v>
      </c>
      <c r="AY67" s="27">
        <f ca="1">AY51*'Assumption Table'!$C$71</f>
        <v>447107.16872617754</v>
      </c>
      <c r="AZ67" s="27">
        <f ca="1">AZ51*'Assumption Table'!$C$71</f>
        <v>630628.98858020501</v>
      </c>
      <c r="BA67" s="27">
        <f ca="1">BA51*'Assumption Table'!$C$71</f>
        <v>405449.86311831651</v>
      </c>
      <c r="BB67" s="27">
        <f ca="1">BB51*'Assumption Table'!$C$71</f>
        <v>555418.09144301864</v>
      </c>
      <c r="BC67" s="27">
        <f ca="1">BC51*'Assumption Table'!$C$71</f>
        <v>802740.8285413417</v>
      </c>
      <c r="BD67" s="27">
        <f ca="1">BD51*'Assumption Table'!$C$71</f>
        <v>803294.72082409868</v>
      </c>
      <c r="BE67" s="27">
        <f ca="1">BE51*'Assumption Table'!$C$71</f>
        <v>1068090.3746485424</v>
      </c>
      <c r="BF67" s="27">
        <f ca="1">BF51*'Assumption Table'!$C$71</f>
        <v>1066095.4188043326</v>
      </c>
      <c r="BG67" s="27">
        <f ca="1">BG51*'Assumption Table'!$C$71</f>
        <v>961700.29708469124</v>
      </c>
      <c r="BH67" s="27">
        <f ca="1">BH51*'Assumption Table'!$C$71</f>
        <v>562105.86929273431</v>
      </c>
      <c r="BI67" s="97">
        <f ca="1">BI51*'Assumption Table'!$C$71</f>
        <v>958603.11414486601</v>
      </c>
      <c r="BJ67" s="19" t="str">
        <f t="shared" ref="BJ67:BJ130" si="29">A67</f>
        <v>General &amp; Admin expense</v>
      </c>
      <c r="BK67" s="115">
        <f ca="1">SUMIFS($B67:$BI67,$B$4:$BI$4,"&lt;=12")</f>
        <v>668668.41800272581</v>
      </c>
      <c r="BL67" s="115">
        <f ca="1">SUMIFS($B67:$BI67,$B$4:$BI$4,"&lt;=24",$B$4:$BI$4,"&gt;12")</f>
        <v>2159015.0617736392</v>
      </c>
      <c r="BM67" s="115">
        <f ca="1">SUMIFS($B67:$BI67,$B$4:$BI$4,"&lt;=36",$B$4:$BI$4,"&gt;24")</f>
        <v>3790461.502350607</v>
      </c>
      <c r="BN67" s="115">
        <f ca="1">SUMIFS($B67:$BI67,$B$4:$BI$4,"&lt;=48",$B$4:$BI$4,"&gt;36")</f>
        <v>5469812.8351836633</v>
      </c>
      <c r="BO67" s="115">
        <f ca="1">SUMIFS($B67:$BI67,$B$4:$BI$4,"&lt;=60",$B$4:$BI$4,"&gt;48")</f>
        <v>8821846.96383016</v>
      </c>
    </row>
    <row r="68" spans="1:67" ht="13.4" customHeight="1">
      <c r="A68" s="10" t="s">
        <v>65</v>
      </c>
      <c r="B68" s="27" t="e">
        <f t="shared" ref="B68:AG68" ca="1" si="30">_xludf.ifs(B4&lt;=12,$BK$68/12,B4&lt;=24,$BL$68/12,B4&lt;=36,$BM$68/12,B4&lt;=48,$BN$68/12,B4&lt;=60,$BO$68/12)</f>
        <v>#NAME?</v>
      </c>
      <c r="C68" s="27" t="e">
        <f t="shared" ca="1" si="30"/>
        <v>#NAME?</v>
      </c>
      <c r="D68" s="27" t="e">
        <f t="shared" ca="1" si="30"/>
        <v>#NAME?</v>
      </c>
      <c r="E68" s="27" t="e">
        <f t="shared" ca="1" si="30"/>
        <v>#NAME?</v>
      </c>
      <c r="F68" s="27" t="e">
        <f t="shared" ca="1" si="30"/>
        <v>#NAME?</v>
      </c>
      <c r="G68" s="27" t="e">
        <f t="shared" ca="1" si="30"/>
        <v>#NAME?</v>
      </c>
      <c r="H68" s="27" t="e">
        <f t="shared" ca="1" si="30"/>
        <v>#NAME?</v>
      </c>
      <c r="I68" s="27" t="e">
        <f t="shared" ca="1" si="30"/>
        <v>#NAME?</v>
      </c>
      <c r="J68" s="27" t="e">
        <f t="shared" ca="1" si="30"/>
        <v>#NAME?</v>
      </c>
      <c r="K68" s="27" t="e">
        <f t="shared" ca="1" si="30"/>
        <v>#NAME?</v>
      </c>
      <c r="L68" s="27" t="e">
        <f t="shared" ca="1" si="30"/>
        <v>#NAME?</v>
      </c>
      <c r="M68" s="27" t="e">
        <f t="shared" ca="1" si="30"/>
        <v>#NAME?</v>
      </c>
      <c r="N68" s="27" t="e">
        <f t="shared" ca="1" si="30"/>
        <v>#NAME?</v>
      </c>
      <c r="O68" s="27" t="e">
        <f t="shared" ca="1" si="30"/>
        <v>#NAME?</v>
      </c>
      <c r="P68" s="27" t="e">
        <f t="shared" ca="1" si="30"/>
        <v>#NAME?</v>
      </c>
      <c r="Q68" s="27" t="e">
        <f t="shared" ca="1" si="30"/>
        <v>#NAME?</v>
      </c>
      <c r="R68" s="27" t="e">
        <f t="shared" ca="1" si="30"/>
        <v>#NAME?</v>
      </c>
      <c r="S68" s="27" t="e">
        <f t="shared" ca="1" si="30"/>
        <v>#NAME?</v>
      </c>
      <c r="T68" s="27" t="e">
        <f t="shared" ca="1" si="30"/>
        <v>#NAME?</v>
      </c>
      <c r="U68" s="27" t="e">
        <f t="shared" ca="1" si="30"/>
        <v>#NAME?</v>
      </c>
      <c r="V68" s="27" t="e">
        <f t="shared" ca="1" si="30"/>
        <v>#NAME?</v>
      </c>
      <c r="W68" s="27" t="e">
        <f t="shared" ca="1" si="30"/>
        <v>#NAME?</v>
      </c>
      <c r="X68" s="27" t="e">
        <f t="shared" ca="1" si="30"/>
        <v>#NAME?</v>
      </c>
      <c r="Y68" s="27" t="e">
        <f t="shared" ca="1" si="30"/>
        <v>#NAME?</v>
      </c>
      <c r="Z68" s="27" t="e">
        <f t="shared" ca="1" si="30"/>
        <v>#NAME?</v>
      </c>
      <c r="AA68" s="27" t="e">
        <f t="shared" ca="1" si="30"/>
        <v>#NAME?</v>
      </c>
      <c r="AB68" s="27" t="e">
        <f t="shared" ca="1" si="30"/>
        <v>#NAME?</v>
      </c>
      <c r="AC68" s="27" t="e">
        <f t="shared" ca="1" si="30"/>
        <v>#NAME?</v>
      </c>
      <c r="AD68" s="27" t="e">
        <f t="shared" ca="1" si="30"/>
        <v>#NAME?</v>
      </c>
      <c r="AE68" s="27" t="e">
        <f t="shared" ca="1" si="30"/>
        <v>#NAME?</v>
      </c>
      <c r="AF68" s="27" t="e">
        <f t="shared" ca="1" si="30"/>
        <v>#NAME?</v>
      </c>
      <c r="AG68" s="27" t="e">
        <f t="shared" ca="1" si="30"/>
        <v>#NAME?</v>
      </c>
      <c r="AH68" s="27" t="e">
        <f t="shared" ref="AH68:BI68" ca="1" si="31">_xludf.ifs(AH4&lt;=12,$BK$68/12,AH4&lt;=24,$BL$68/12,AH4&lt;=36,$BM$68/12,AH4&lt;=48,$BN$68/12,AH4&lt;=60,$BO$68/12)</f>
        <v>#NAME?</v>
      </c>
      <c r="AI68" s="27" t="e">
        <f t="shared" ca="1" si="31"/>
        <v>#NAME?</v>
      </c>
      <c r="AJ68" s="27" t="e">
        <f t="shared" ca="1" si="31"/>
        <v>#NAME?</v>
      </c>
      <c r="AK68" s="27" t="e">
        <f t="shared" ca="1" si="31"/>
        <v>#NAME?</v>
      </c>
      <c r="AL68" s="27" t="e">
        <f t="shared" ca="1" si="31"/>
        <v>#NAME?</v>
      </c>
      <c r="AM68" s="27" t="e">
        <f t="shared" ca="1" si="31"/>
        <v>#NAME?</v>
      </c>
      <c r="AN68" s="27" t="e">
        <f t="shared" ca="1" si="31"/>
        <v>#NAME?</v>
      </c>
      <c r="AO68" s="27" t="e">
        <f t="shared" ca="1" si="31"/>
        <v>#NAME?</v>
      </c>
      <c r="AP68" s="27" t="e">
        <f t="shared" ca="1" si="31"/>
        <v>#NAME?</v>
      </c>
      <c r="AQ68" s="27" t="e">
        <f t="shared" ca="1" si="31"/>
        <v>#NAME?</v>
      </c>
      <c r="AR68" s="27" t="e">
        <f t="shared" ca="1" si="31"/>
        <v>#NAME?</v>
      </c>
      <c r="AS68" s="27" t="e">
        <f t="shared" ca="1" si="31"/>
        <v>#NAME?</v>
      </c>
      <c r="AT68" s="27" t="e">
        <f t="shared" ca="1" si="31"/>
        <v>#NAME?</v>
      </c>
      <c r="AU68" s="27" t="e">
        <f t="shared" ca="1" si="31"/>
        <v>#NAME?</v>
      </c>
      <c r="AV68" s="27" t="e">
        <f t="shared" ca="1" si="31"/>
        <v>#NAME?</v>
      </c>
      <c r="AW68" s="27" t="e">
        <f t="shared" ca="1" si="31"/>
        <v>#NAME?</v>
      </c>
      <c r="AX68" s="27" t="e">
        <f t="shared" ca="1" si="31"/>
        <v>#NAME?</v>
      </c>
      <c r="AY68" s="27" t="e">
        <f t="shared" ca="1" si="31"/>
        <v>#NAME?</v>
      </c>
      <c r="AZ68" s="27" t="e">
        <f t="shared" ca="1" si="31"/>
        <v>#NAME?</v>
      </c>
      <c r="BA68" s="27" t="e">
        <f t="shared" ca="1" si="31"/>
        <v>#NAME?</v>
      </c>
      <c r="BB68" s="27" t="e">
        <f t="shared" ca="1" si="31"/>
        <v>#NAME?</v>
      </c>
      <c r="BC68" s="27" t="e">
        <f t="shared" ca="1" si="31"/>
        <v>#NAME?</v>
      </c>
      <c r="BD68" s="27" t="e">
        <f t="shared" ca="1" si="31"/>
        <v>#NAME?</v>
      </c>
      <c r="BE68" s="27" t="e">
        <f t="shared" ca="1" si="31"/>
        <v>#NAME?</v>
      </c>
      <c r="BF68" s="27" t="e">
        <f t="shared" ca="1" si="31"/>
        <v>#NAME?</v>
      </c>
      <c r="BG68" s="27" t="e">
        <f t="shared" ca="1" si="31"/>
        <v>#NAME?</v>
      </c>
      <c r="BH68" s="27" t="e">
        <f t="shared" ca="1" si="31"/>
        <v>#NAME?</v>
      </c>
      <c r="BI68" s="27" t="e">
        <f t="shared" ca="1" si="31"/>
        <v>#NAME?</v>
      </c>
      <c r="BJ68" s="10" t="str">
        <f t="shared" si="29"/>
        <v>Office Space</v>
      </c>
      <c r="BK68" s="125">
        <f>'Assumption Table'!$C$72*12*(1+'Assumption Table'!$C$73)^(BK4-1)</f>
        <v>120000</v>
      </c>
      <c r="BL68" s="125">
        <f>'Assumption Table'!$C$72*12*(1+'Assumption Table'!$C$73)^(BL4-1)</f>
        <v>122400</v>
      </c>
      <c r="BM68" s="125">
        <f>'Assumption Table'!$C$72*12*(1+'Assumption Table'!$C$73)^(BM4-1)</f>
        <v>124848</v>
      </c>
      <c r="BN68" s="125">
        <f>'Assumption Table'!$C$72*12*(1+'Assumption Table'!$C$73)^(BN4-1)</f>
        <v>127344.95999999999</v>
      </c>
      <c r="BO68" s="125">
        <f>'Assumption Table'!$C$72*12*(1+'Assumption Table'!$C$73)^(BO4-1)</f>
        <v>129891.85919999999</v>
      </c>
    </row>
    <row r="69" spans="1:67" ht="13.4" customHeight="1">
      <c r="A69" s="6" t="s">
        <v>69</v>
      </c>
      <c r="B69" s="125">
        <f t="shared" ref="B69:AG69" ca="1" si="32">B70+B71</f>
        <v>10017</v>
      </c>
      <c r="C69" s="125">
        <f t="shared" ca="1" si="32"/>
        <v>9922</v>
      </c>
      <c r="D69" s="125">
        <f t="shared" ca="1" si="32"/>
        <v>10195</v>
      </c>
      <c r="E69" s="125">
        <f t="shared" ca="1" si="32"/>
        <v>10210</v>
      </c>
      <c r="F69" s="125">
        <f t="shared" ca="1" si="32"/>
        <v>10384</v>
      </c>
      <c r="G69" s="125">
        <f t="shared" ca="1" si="32"/>
        <v>10426</v>
      </c>
      <c r="H69" s="125">
        <f t="shared" ca="1" si="32"/>
        <v>10545</v>
      </c>
      <c r="I69" s="125">
        <f t="shared" ca="1" si="32"/>
        <v>10740</v>
      </c>
      <c r="J69" s="125">
        <f t="shared" ca="1" si="32"/>
        <v>10857</v>
      </c>
      <c r="K69" s="125">
        <f t="shared" ca="1" si="32"/>
        <v>11098</v>
      </c>
      <c r="L69" s="125">
        <f t="shared" ca="1" si="32"/>
        <v>11197</v>
      </c>
      <c r="M69" s="125">
        <f t="shared" ca="1" si="32"/>
        <v>11108</v>
      </c>
      <c r="N69" s="125">
        <f t="shared" ca="1" si="32"/>
        <v>11303</v>
      </c>
      <c r="O69" s="125">
        <f t="shared" ca="1" si="32"/>
        <v>11518</v>
      </c>
      <c r="P69" s="125">
        <f t="shared" ca="1" si="32"/>
        <v>11672</v>
      </c>
      <c r="Q69" s="125">
        <f t="shared" ca="1" si="32"/>
        <v>11827</v>
      </c>
      <c r="R69" s="125">
        <f t="shared" ca="1" si="32"/>
        <v>11925</v>
      </c>
      <c r="S69" s="125">
        <f t="shared" ca="1" si="32"/>
        <v>12067</v>
      </c>
      <c r="T69" s="125">
        <f t="shared" ca="1" si="32"/>
        <v>12121</v>
      </c>
      <c r="U69" s="125">
        <f t="shared" ca="1" si="32"/>
        <v>12093</v>
      </c>
      <c r="V69" s="125">
        <f t="shared" ca="1" si="32"/>
        <v>12448</v>
      </c>
      <c r="W69" s="125">
        <f t="shared" ca="1" si="32"/>
        <v>12569</v>
      </c>
      <c r="X69" s="125">
        <f t="shared" ca="1" si="32"/>
        <v>12817</v>
      </c>
      <c r="Y69" s="125">
        <f t="shared" ca="1" si="32"/>
        <v>12961</v>
      </c>
      <c r="Z69" s="125">
        <f t="shared" ca="1" si="32"/>
        <v>13131</v>
      </c>
      <c r="AA69" s="125">
        <f t="shared" ca="1" si="32"/>
        <v>13314</v>
      </c>
      <c r="AB69" s="125">
        <f t="shared" ca="1" si="32"/>
        <v>13403</v>
      </c>
      <c r="AC69" s="125">
        <f t="shared" ca="1" si="32"/>
        <v>13546</v>
      </c>
      <c r="AD69" s="125">
        <f t="shared" ca="1" si="32"/>
        <v>13712</v>
      </c>
      <c r="AE69" s="125">
        <f t="shared" ca="1" si="32"/>
        <v>14045</v>
      </c>
      <c r="AF69" s="125">
        <f t="shared" ca="1" si="32"/>
        <v>13983</v>
      </c>
      <c r="AG69" s="125">
        <f t="shared" ca="1" si="32"/>
        <v>14293</v>
      </c>
      <c r="AH69" s="125">
        <f t="shared" ref="AH69:BM69" ca="1" si="33">AH70+AH71</f>
        <v>14262</v>
      </c>
      <c r="AI69" s="125">
        <f t="shared" ca="1" si="33"/>
        <v>14665</v>
      </c>
      <c r="AJ69" s="125">
        <f t="shared" ca="1" si="33"/>
        <v>14721</v>
      </c>
      <c r="AK69" s="125">
        <f t="shared" ca="1" si="33"/>
        <v>15266</v>
      </c>
      <c r="AL69" s="125">
        <f t="shared" ca="1" si="33"/>
        <v>15192</v>
      </c>
      <c r="AM69" s="125">
        <f t="shared" ca="1" si="33"/>
        <v>15239</v>
      </c>
      <c r="AN69" s="125">
        <f t="shared" ca="1" si="33"/>
        <v>15485</v>
      </c>
      <c r="AO69" s="125">
        <f t="shared" ca="1" si="33"/>
        <v>15520</v>
      </c>
      <c r="AP69" s="125">
        <f t="shared" ca="1" si="33"/>
        <v>15969</v>
      </c>
      <c r="AQ69" s="125">
        <f t="shared" ca="1" si="33"/>
        <v>16398</v>
      </c>
      <c r="AR69" s="125">
        <f t="shared" ca="1" si="33"/>
        <v>16506</v>
      </c>
      <c r="AS69" s="125">
        <f t="shared" ca="1" si="33"/>
        <v>16717</v>
      </c>
      <c r="AT69" s="125">
        <f t="shared" ca="1" si="33"/>
        <v>17260</v>
      </c>
      <c r="AU69" s="125">
        <f t="shared" ca="1" si="33"/>
        <v>17201</v>
      </c>
      <c r="AV69" s="125">
        <f t="shared" ca="1" si="33"/>
        <v>17438</v>
      </c>
      <c r="AW69" s="125">
        <f t="shared" ca="1" si="33"/>
        <v>17563</v>
      </c>
      <c r="AX69" s="125">
        <f t="shared" ca="1" si="33"/>
        <v>17840</v>
      </c>
      <c r="AY69" s="125">
        <f t="shared" ca="1" si="33"/>
        <v>18283</v>
      </c>
      <c r="AZ69" s="125">
        <f t="shared" ca="1" si="33"/>
        <v>18429</v>
      </c>
      <c r="BA69" s="125">
        <f t="shared" ca="1" si="33"/>
        <v>18835</v>
      </c>
      <c r="BB69" s="125">
        <f t="shared" ca="1" si="33"/>
        <v>18889</v>
      </c>
      <c r="BC69" s="125">
        <f t="shared" ca="1" si="33"/>
        <v>19246</v>
      </c>
      <c r="BD69" s="125">
        <f t="shared" ca="1" si="33"/>
        <v>19599</v>
      </c>
      <c r="BE69" s="125">
        <f t="shared" ca="1" si="33"/>
        <v>19607</v>
      </c>
      <c r="BF69" s="125">
        <f t="shared" ca="1" si="33"/>
        <v>20151</v>
      </c>
      <c r="BG69" s="125">
        <f t="shared" ca="1" si="33"/>
        <v>20477</v>
      </c>
      <c r="BH69" s="125">
        <f t="shared" ca="1" si="33"/>
        <v>20959</v>
      </c>
      <c r="BI69" s="125">
        <f t="shared" ca="1" si="33"/>
        <v>21135</v>
      </c>
      <c r="BJ69" s="19" t="str">
        <f t="shared" si="29"/>
        <v>Sales &amp; Marketing</v>
      </c>
      <c r="BK69" s="6"/>
      <c r="BL69" s="6"/>
      <c r="BM69" s="6"/>
      <c r="BN69" s="6"/>
      <c r="BO69" s="6"/>
    </row>
    <row r="70" spans="1:67" ht="13.4" customHeight="1">
      <c r="A70" s="6" t="s">
        <v>244</v>
      </c>
      <c r="B70" s="125">
        <f>'Assumption Table'!$C$75</f>
        <v>5000</v>
      </c>
      <c r="C70" s="125">
        <f>'Assumption Table'!$C$75</f>
        <v>5000</v>
      </c>
      <c r="D70" s="125">
        <f>'Assumption Table'!$C$75</f>
        <v>5000</v>
      </c>
      <c r="E70" s="125">
        <f>'Assumption Table'!$C$75</f>
        <v>5000</v>
      </c>
      <c r="F70" s="125">
        <f>'Assumption Table'!$C$75</f>
        <v>5000</v>
      </c>
      <c r="G70" s="125">
        <f>'Assumption Table'!$C$75</f>
        <v>5000</v>
      </c>
      <c r="H70" s="125">
        <f>'Assumption Table'!$C$75</f>
        <v>5000</v>
      </c>
      <c r="I70" s="125">
        <f>'Assumption Table'!$C$75</f>
        <v>5000</v>
      </c>
      <c r="J70" s="125">
        <f>'Assumption Table'!$C$75</f>
        <v>5000</v>
      </c>
      <c r="K70" s="125">
        <f>'Assumption Table'!$C$75</f>
        <v>5000</v>
      </c>
      <c r="L70" s="125">
        <f>'Assumption Table'!$C$75</f>
        <v>5000</v>
      </c>
      <c r="M70" s="125">
        <f>'Assumption Table'!$C$75</f>
        <v>5000</v>
      </c>
      <c r="N70" s="125">
        <f>'Assumption Table'!$C$75</f>
        <v>5000</v>
      </c>
      <c r="O70" s="125">
        <f>'Assumption Table'!$C$75</f>
        <v>5000</v>
      </c>
      <c r="P70" s="125">
        <f>'Assumption Table'!$C$75</f>
        <v>5000</v>
      </c>
      <c r="Q70" s="125">
        <f>'Assumption Table'!$C$75</f>
        <v>5000</v>
      </c>
      <c r="R70" s="125">
        <f>'Assumption Table'!$C$75</f>
        <v>5000</v>
      </c>
      <c r="S70" s="125">
        <f>'Assumption Table'!$C$75</f>
        <v>5000</v>
      </c>
      <c r="T70" s="125">
        <f>'Assumption Table'!$C$75</f>
        <v>5000</v>
      </c>
      <c r="U70" s="125">
        <f>'Assumption Table'!$C$75</f>
        <v>5000</v>
      </c>
      <c r="V70" s="125">
        <f>'Assumption Table'!$C$75</f>
        <v>5000</v>
      </c>
      <c r="W70" s="125">
        <f>'Assumption Table'!$C$75</f>
        <v>5000</v>
      </c>
      <c r="X70" s="125">
        <f>'Assumption Table'!$C$75</f>
        <v>5000</v>
      </c>
      <c r="Y70" s="125">
        <f>'Assumption Table'!$C$75</f>
        <v>5000</v>
      </c>
      <c r="Z70" s="125">
        <f>'Assumption Table'!$C$75</f>
        <v>5000</v>
      </c>
      <c r="AA70" s="125">
        <f>'Assumption Table'!$C$75</f>
        <v>5000</v>
      </c>
      <c r="AB70" s="125">
        <f>'Assumption Table'!$C$75</f>
        <v>5000</v>
      </c>
      <c r="AC70" s="125">
        <f>'Assumption Table'!$C$75</f>
        <v>5000</v>
      </c>
      <c r="AD70" s="125">
        <f>'Assumption Table'!$C$75</f>
        <v>5000</v>
      </c>
      <c r="AE70" s="125">
        <f>'Assumption Table'!$C$75</f>
        <v>5000</v>
      </c>
      <c r="AF70" s="125">
        <f>'Assumption Table'!$C$75</f>
        <v>5000</v>
      </c>
      <c r="AG70" s="125">
        <f>'Assumption Table'!$C$75</f>
        <v>5000</v>
      </c>
      <c r="AH70" s="125">
        <f>'Assumption Table'!$C$75</f>
        <v>5000</v>
      </c>
      <c r="AI70" s="125">
        <f>'Assumption Table'!$C$75</f>
        <v>5000</v>
      </c>
      <c r="AJ70" s="125">
        <f>'Assumption Table'!$C$75</f>
        <v>5000</v>
      </c>
      <c r="AK70" s="125">
        <f>'Assumption Table'!$C$75</f>
        <v>5000</v>
      </c>
      <c r="AL70" s="125">
        <f>'Assumption Table'!$C$75</f>
        <v>5000</v>
      </c>
      <c r="AM70" s="125">
        <f>'Assumption Table'!$C$75</f>
        <v>5000</v>
      </c>
      <c r="AN70" s="125">
        <f>'Assumption Table'!$C$75</f>
        <v>5000</v>
      </c>
      <c r="AO70" s="125">
        <f>'Assumption Table'!$C$75</f>
        <v>5000</v>
      </c>
      <c r="AP70" s="125">
        <f>'Assumption Table'!$C$75</f>
        <v>5000</v>
      </c>
      <c r="AQ70" s="125">
        <f>'Assumption Table'!$C$75</f>
        <v>5000</v>
      </c>
      <c r="AR70" s="125">
        <f>'Assumption Table'!$C$75</f>
        <v>5000</v>
      </c>
      <c r="AS70" s="125">
        <f>'Assumption Table'!$C$75</f>
        <v>5000</v>
      </c>
      <c r="AT70" s="125">
        <f>'Assumption Table'!$C$75</f>
        <v>5000</v>
      </c>
      <c r="AU70" s="125">
        <f>'Assumption Table'!$C$75</f>
        <v>5000</v>
      </c>
      <c r="AV70" s="125">
        <f>'Assumption Table'!$C$75</f>
        <v>5000</v>
      </c>
      <c r="AW70" s="125">
        <f>'Assumption Table'!$C$75</f>
        <v>5000</v>
      </c>
      <c r="AX70" s="125">
        <f>'Assumption Table'!$C$75</f>
        <v>5000</v>
      </c>
      <c r="AY70" s="125">
        <f>'Assumption Table'!$C$75</f>
        <v>5000</v>
      </c>
      <c r="AZ70" s="125">
        <f>'Assumption Table'!$C$75</f>
        <v>5000</v>
      </c>
      <c r="BA70" s="125">
        <f>'Assumption Table'!$C$75</f>
        <v>5000</v>
      </c>
      <c r="BB70" s="125">
        <f>'Assumption Table'!$C$75</f>
        <v>5000</v>
      </c>
      <c r="BC70" s="125">
        <f>'Assumption Table'!$C$75</f>
        <v>5000</v>
      </c>
      <c r="BD70" s="125">
        <f>'Assumption Table'!$C$75</f>
        <v>5000</v>
      </c>
      <c r="BE70" s="125">
        <f>'Assumption Table'!$C$75</f>
        <v>5000</v>
      </c>
      <c r="BF70" s="125">
        <f>'Assumption Table'!$C$75</f>
        <v>5000</v>
      </c>
      <c r="BG70" s="125">
        <f>'Assumption Table'!$C$75</f>
        <v>5000</v>
      </c>
      <c r="BH70" s="125">
        <f>'Assumption Table'!$C$75</f>
        <v>5000</v>
      </c>
      <c r="BI70" s="126">
        <f>'Assumption Table'!$C$75</f>
        <v>5000</v>
      </c>
      <c r="BJ70" s="19" t="str">
        <f t="shared" si="29"/>
        <v xml:space="preserve">      Fixed Cost</v>
      </c>
      <c r="BK70" s="127">
        <f>SUMIFS($B70:$BI70,$B$4:$BI$4,"&lt;=12")</f>
        <v>60000</v>
      </c>
      <c r="BL70" s="127">
        <f>SUMIFS($B70:$BI70,$B$4:$BI$4,"&lt;=24",$B$4:$BI$4,"&gt;12")</f>
        <v>60000</v>
      </c>
      <c r="BM70" s="127">
        <f>SUMIFS($B70:$BI70,$B$4:$BI$4,"&lt;=36",$B$4:$BI$4,"&gt;24")</f>
        <v>60000</v>
      </c>
      <c r="BN70" s="127">
        <f>SUMIFS($B70:$BI70,$B$4:$BI$4,"&lt;=48",$B$4:$BI$4,"&gt;36")</f>
        <v>60000</v>
      </c>
      <c r="BO70" s="127">
        <f>SUMIFS($B70:$BI70,$B$4:$BI$4,"&lt;=60",$B$4:$BI$4,"&gt;48")</f>
        <v>60000</v>
      </c>
    </row>
    <row r="71" spans="1:67" ht="13.4" customHeight="1">
      <c r="A71" s="4" t="s">
        <v>245</v>
      </c>
      <c r="B71" s="27">
        <f ca="1">B7*'Assumption Table'!$C$76</f>
        <v>5017</v>
      </c>
      <c r="C71" s="27">
        <f ca="1">C7*'Assumption Table'!$C$76</f>
        <v>4922</v>
      </c>
      <c r="D71" s="27">
        <f ca="1">D7*'Assumption Table'!$C$76</f>
        <v>5195</v>
      </c>
      <c r="E71" s="27">
        <f ca="1">E7*'Assumption Table'!$C$76</f>
        <v>5210</v>
      </c>
      <c r="F71" s="27">
        <f ca="1">F7*'Assumption Table'!$C$76</f>
        <v>5384</v>
      </c>
      <c r="G71" s="27">
        <f ca="1">G7*'Assumption Table'!$C$76</f>
        <v>5426</v>
      </c>
      <c r="H71" s="27">
        <f ca="1">H7*'Assumption Table'!$C$76</f>
        <v>5545</v>
      </c>
      <c r="I71" s="27">
        <f ca="1">I7*'Assumption Table'!$C$76</f>
        <v>5740</v>
      </c>
      <c r="J71" s="27">
        <f ca="1">J7*'Assumption Table'!$C$76</f>
        <v>5857</v>
      </c>
      <c r="K71" s="27">
        <f ca="1">K7*'Assumption Table'!$C$76</f>
        <v>6098</v>
      </c>
      <c r="L71" s="27">
        <f ca="1">L7*'Assumption Table'!$C$76</f>
        <v>6197</v>
      </c>
      <c r="M71" s="27">
        <f ca="1">M7*'Assumption Table'!$C$76</f>
        <v>6108</v>
      </c>
      <c r="N71" s="27">
        <f ca="1">N7*'Assumption Table'!$C$76</f>
        <v>6303</v>
      </c>
      <c r="O71" s="27">
        <f ca="1">O7*'Assumption Table'!$C$76</f>
        <v>6518</v>
      </c>
      <c r="P71" s="27">
        <f ca="1">P7*'Assumption Table'!$C$76</f>
        <v>6672</v>
      </c>
      <c r="Q71" s="27">
        <f ca="1">Q7*'Assumption Table'!$C$76</f>
        <v>6827</v>
      </c>
      <c r="R71" s="27">
        <f ca="1">R7*'Assumption Table'!$C$76</f>
        <v>6925</v>
      </c>
      <c r="S71" s="27">
        <f ca="1">S7*'Assumption Table'!$C$76</f>
        <v>7067</v>
      </c>
      <c r="T71" s="27">
        <f ca="1">T7*'Assumption Table'!$C$76</f>
        <v>7121</v>
      </c>
      <c r="U71" s="27">
        <f ca="1">U7*'Assumption Table'!$C$76</f>
        <v>7093</v>
      </c>
      <c r="V71" s="27">
        <f ca="1">V7*'Assumption Table'!$C$76</f>
        <v>7448</v>
      </c>
      <c r="W71" s="27">
        <f ca="1">W7*'Assumption Table'!$C$76</f>
        <v>7569</v>
      </c>
      <c r="X71" s="27">
        <f ca="1">X7*'Assumption Table'!$C$76</f>
        <v>7817</v>
      </c>
      <c r="Y71" s="27">
        <f ca="1">Y7*'Assumption Table'!$C$76</f>
        <v>7961</v>
      </c>
      <c r="Z71" s="27">
        <f ca="1">Z7*'Assumption Table'!$C$76</f>
        <v>8131</v>
      </c>
      <c r="AA71" s="27">
        <f ca="1">AA7*'Assumption Table'!$C$76</f>
        <v>8314</v>
      </c>
      <c r="AB71" s="27">
        <f ca="1">AB7*'Assumption Table'!$C$76</f>
        <v>8403</v>
      </c>
      <c r="AC71" s="27">
        <f ca="1">AC7*'Assumption Table'!$C$76</f>
        <v>8546</v>
      </c>
      <c r="AD71" s="27">
        <f ca="1">AD7*'Assumption Table'!$C$76</f>
        <v>8712</v>
      </c>
      <c r="AE71" s="27">
        <f ca="1">AE7*'Assumption Table'!$C$76</f>
        <v>9045</v>
      </c>
      <c r="AF71" s="27">
        <f ca="1">AF7*'Assumption Table'!$C$76</f>
        <v>8983</v>
      </c>
      <c r="AG71" s="27">
        <f ca="1">AG7*'Assumption Table'!$C$76</f>
        <v>9293</v>
      </c>
      <c r="AH71" s="27">
        <f ca="1">AH7*'Assumption Table'!$C$76</f>
        <v>9262</v>
      </c>
      <c r="AI71" s="27">
        <f ca="1">AI7*'Assumption Table'!$C$76</f>
        <v>9665</v>
      </c>
      <c r="AJ71" s="27">
        <f ca="1">AJ7*'Assumption Table'!$C$76</f>
        <v>9721</v>
      </c>
      <c r="AK71" s="27">
        <f ca="1">AK7*'Assumption Table'!$C$76</f>
        <v>10266</v>
      </c>
      <c r="AL71" s="27">
        <f ca="1">AL7*'Assumption Table'!$C$76</f>
        <v>10192</v>
      </c>
      <c r="AM71" s="27">
        <f ca="1">AM7*'Assumption Table'!$C$76</f>
        <v>10239</v>
      </c>
      <c r="AN71" s="27">
        <f ca="1">AN7*'Assumption Table'!$C$76</f>
        <v>10485</v>
      </c>
      <c r="AO71" s="27">
        <f ca="1">AO7*'Assumption Table'!$C$76</f>
        <v>10520</v>
      </c>
      <c r="AP71" s="27">
        <f ca="1">AP7*'Assumption Table'!$C$76</f>
        <v>10969</v>
      </c>
      <c r="AQ71" s="27">
        <f ca="1">AQ7*'Assumption Table'!$C$76</f>
        <v>11398</v>
      </c>
      <c r="AR71" s="27">
        <f ca="1">AR7*'Assumption Table'!$C$76</f>
        <v>11506</v>
      </c>
      <c r="AS71" s="27">
        <f ca="1">AS7*'Assumption Table'!$C$76</f>
        <v>11717</v>
      </c>
      <c r="AT71" s="27">
        <f ca="1">AT7*'Assumption Table'!$C$76</f>
        <v>12260</v>
      </c>
      <c r="AU71" s="27">
        <f ca="1">AU7*'Assumption Table'!$C$76</f>
        <v>12201</v>
      </c>
      <c r="AV71" s="27">
        <f ca="1">AV7*'Assumption Table'!$C$76</f>
        <v>12438</v>
      </c>
      <c r="AW71" s="27">
        <f ca="1">AW7*'Assumption Table'!$C$76</f>
        <v>12563</v>
      </c>
      <c r="AX71" s="27">
        <f ca="1">AX7*'Assumption Table'!$C$76</f>
        <v>12840</v>
      </c>
      <c r="AY71" s="27">
        <f ca="1">AY7*'Assumption Table'!$C$76</f>
        <v>13283</v>
      </c>
      <c r="AZ71" s="27">
        <f ca="1">AZ7*'Assumption Table'!$C$76</f>
        <v>13429</v>
      </c>
      <c r="BA71" s="27">
        <f ca="1">BA7*'Assumption Table'!$C$76</f>
        <v>13835</v>
      </c>
      <c r="BB71" s="27">
        <f ca="1">BB7*'Assumption Table'!$C$76</f>
        <v>13889</v>
      </c>
      <c r="BC71" s="27">
        <f ca="1">BC7*'Assumption Table'!$C$76</f>
        <v>14246</v>
      </c>
      <c r="BD71" s="27">
        <f ca="1">BD7*'Assumption Table'!$C$76</f>
        <v>14599</v>
      </c>
      <c r="BE71" s="27">
        <f ca="1">BE7*'Assumption Table'!$C$76</f>
        <v>14607</v>
      </c>
      <c r="BF71" s="27">
        <f ca="1">BF7*'Assumption Table'!$C$76</f>
        <v>15151</v>
      </c>
      <c r="BG71" s="27">
        <f ca="1">BG7*'Assumption Table'!$C$76</f>
        <v>15477</v>
      </c>
      <c r="BH71" s="27">
        <f ca="1">BH7*'Assumption Table'!$C$76</f>
        <v>15959</v>
      </c>
      <c r="BI71" s="97">
        <f ca="1">BI7*'Assumption Table'!$C$76</f>
        <v>16135</v>
      </c>
      <c r="BJ71" s="17" t="str">
        <f t="shared" si="29"/>
        <v xml:space="preserve">      Variable Cost</v>
      </c>
      <c r="BK71" s="127">
        <f ca="1">SUMIFS($B71:$BI71,$B$4:$BI$4,"&lt;=12")</f>
        <v>66699</v>
      </c>
      <c r="BL71" s="127">
        <f ca="1">SUMIFS($B71:$BI71,$B$4:$BI$4,"&lt;=24",$B$4:$BI$4,"&gt;12")</f>
        <v>85321</v>
      </c>
      <c r="BM71" s="127">
        <f ca="1">SUMIFS($B71:$BI71,$B$4:$BI$4,"&lt;=36",$B$4:$BI$4,"&gt;24")</f>
        <v>108341</v>
      </c>
      <c r="BN71" s="127">
        <f ca="1">SUMIFS($B71:$BI71,$B$4:$BI$4,"&lt;=48",$B$4:$BI$4,"&gt;36")</f>
        <v>136488</v>
      </c>
      <c r="BO71" s="127">
        <f ca="1">SUMIFS($B71:$BI71,$B$4:$BI$4,"&lt;=60",$B$4:$BI$4,"&gt;48")</f>
        <v>173450</v>
      </c>
    </row>
    <row r="72" spans="1:67" ht="13.4" customHeight="1">
      <c r="A72" s="4" t="s">
        <v>73</v>
      </c>
      <c r="B72" s="27">
        <f ca="1">B51*'Assumption Table'!$C$77</f>
        <v>18208.56310960816</v>
      </c>
      <c r="C72" s="27">
        <f ca="1">C51*'Assumption Table'!$C$77</f>
        <v>35186.455431102091</v>
      </c>
      <c r="D72" s="27">
        <f ca="1">D51*'Assumption Table'!$C$77</f>
        <v>68713.249031233659</v>
      </c>
      <c r="E72" s="27">
        <f ca="1">E51*'Assumption Table'!$C$77</f>
        <v>48243.962193564068</v>
      </c>
      <c r="F72" s="27">
        <f ca="1">F51*'Assumption Table'!$C$77</f>
        <v>64751.693398876931</v>
      </c>
      <c r="G72" s="27">
        <f ca="1">G51*'Assumption Table'!$C$77</f>
        <v>110979.11050954797</v>
      </c>
      <c r="H72" s="27">
        <f ca="1">H51*'Assumption Table'!$C$77</f>
        <v>106888.81485457477</v>
      </c>
      <c r="I72" s="27">
        <f ca="1">I51*'Assumption Table'!$C$77</f>
        <v>149415.15285152098</v>
      </c>
      <c r="J72" s="27">
        <f ca="1">J51*'Assumption Table'!$C$77</f>
        <v>188683.22799725083</v>
      </c>
      <c r="K72" s="27">
        <f ca="1">K51*'Assumption Table'!$C$77</f>
        <v>187162.65766750815</v>
      </c>
      <c r="L72" s="27">
        <f ca="1">L51*'Assumption Table'!$C$77</f>
        <v>218923.11225231705</v>
      </c>
      <c r="M72" s="27">
        <f ca="1">M51*'Assumption Table'!$C$77</f>
        <v>140180.83670834696</v>
      </c>
      <c r="N72" s="27">
        <f ca="1">N51*'Assumption Table'!$C$77</f>
        <v>295442.1567144997</v>
      </c>
      <c r="O72" s="27">
        <f ca="1">O51*'Assumption Table'!$C$77</f>
        <v>292651.33312614664</v>
      </c>
      <c r="P72" s="27">
        <f ca="1">P51*'Assumption Table'!$C$77</f>
        <v>361184.46359708346</v>
      </c>
      <c r="Q72" s="27">
        <f ca="1">Q51*'Assumption Table'!$C$77</f>
        <v>311922.91192094696</v>
      </c>
      <c r="R72" s="27">
        <f ca="1">R51*'Assumption Table'!$C$77</f>
        <v>354030.53823845083</v>
      </c>
      <c r="S72" s="27">
        <f ca="1">S51*'Assumption Table'!$C$77</f>
        <v>291952.80365793937</v>
      </c>
      <c r="T72" s="27">
        <f ca="1">T51*'Assumption Table'!$C$77</f>
        <v>305141.72557190736</v>
      </c>
      <c r="U72" s="27">
        <f ca="1">U51*'Assumption Table'!$C$77</f>
        <v>285833.57439790032</v>
      </c>
      <c r="V72" s="27">
        <f ca="1">V51*'Assumption Table'!$C$77</f>
        <v>463467.29427371267</v>
      </c>
      <c r="W72" s="27">
        <f ca="1">W51*'Assumption Table'!$C$77</f>
        <v>520310.83911534655</v>
      </c>
      <c r="X72" s="27">
        <f ca="1">X51*'Assumption Table'!$C$77</f>
        <v>487261.31118234387</v>
      </c>
      <c r="Y72" s="27">
        <f ca="1">Y51*'Assumption Table'!$C$77</f>
        <v>348831.17175100092</v>
      </c>
      <c r="Z72" s="27">
        <f ca="1">Z51*'Assumption Table'!$C$77</f>
        <v>689308.66662446933</v>
      </c>
      <c r="AA72" s="27">
        <f ca="1">AA51*'Assumption Table'!$C$77</f>
        <v>538354.65739884018</v>
      </c>
      <c r="AB72" s="27">
        <f ca="1">AB51*'Assumption Table'!$C$77</f>
        <v>484736.12316927931</v>
      </c>
      <c r="AC72" s="27">
        <f ca="1">AC51*'Assumption Table'!$C$77</f>
        <v>744909.45688335353</v>
      </c>
      <c r="AD72" s="27">
        <f ca="1">AD51*'Assumption Table'!$C$77</f>
        <v>468151.47310063097</v>
      </c>
      <c r="AE72" s="27">
        <f ca="1">AE51*'Assumption Table'!$C$77</f>
        <v>817284.77561474824</v>
      </c>
      <c r="AF72" s="27">
        <f ca="1">AF51*'Assumption Table'!$C$77</f>
        <v>531354.52396808739</v>
      </c>
      <c r="AG72" s="27">
        <f ca="1">AG51*'Assumption Table'!$C$77</f>
        <v>357301.43696628371</v>
      </c>
      <c r="AH72" s="27">
        <f ca="1">AH51*'Assumption Table'!$C$77</f>
        <v>420778.07218796428</v>
      </c>
      <c r="AI72" s="27">
        <f ca="1">AI51*'Assumption Table'!$C$77</f>
        <v>602537.59793201776</v>
      </c>
      <c r="AJ72" s="27">
        <f ca="1">AJ51*'Assumption Table'!$C$77</f>
        <v>1267901.601224981</v>
      </c>
      <c r="AK72" s="27">
        <f ca="1">AK51*'Assumption Table'!$C$77</f>
        <v>658304.61963055935</v>
      </c>
      <c r="AL72" s="27">
        <f ca="1">AL51*'Assumption Table'!$C$77</f>
        <v>1028460.1219654749</v>
      </c>
      <c r="AM72" s="27">
        <f ca="1">AM51*'Assumption Table'!$C$77</f>
        <v>1118478.6508164699</v>
      </c>
      <c r="AN72" s="27">
        <f ca="1">AN51*'Assumption Table'!$C$77</f>
        <v>889877.51334864146</v>
      </c>
      <c r="AO72" s="27">
        <f ca="1">AO51*'Assumption Table'!$C$77</f>
        <v>427019.71105757199</v>
      </c>
      <c r="AP72" s="27">
        <f ca="1">AP51*'Assumption Table'!$C$77</f>
        <v>528577.54110959452</v>
      </c>
      <c r="AQ72" s="27">
        <f ca="1">AQ51*'Assumption Table'!$C$77</f>
        <v>786250.77576071047</v>
      </c>
      <c r="AR72" s="27">
        <f ca="1">AR51*'Assumption Table'!$C$77</f>
        <v>491034.44390497706</v>
      </c>
      <c r="AS72" s="27">
        <f ca="1">AS51*'Assumption Table'!$C$77</f>
        <v>1110429.2511727808</v>
      </c>
      <c r="AT72" s="27">
        <f ca="1">AT51*'Assumption Table'!$C$77</f>
        <v>1141860.2453849977</v>
      </c>
      <c r="AU72" s="27">
        <f ca="1">AU51*'Assumption Table'!$C$77</f>
        <v>1033177.4495193368</v>
      </c>
      <c r="AV72" s="27">
        <f ca="1">AV51*'Assumption Table'!$C$77</f>
        <v>1132633.6829047098</v>
      </c>
      <c r="AW72" s="27">
        <f ca="1">AW51*'Assumption Table'!$C$77</f>
        <v>1251826.2834220629</v>
      </c>
      <c r="AX72" s="27">
        <f ca="1">AX51*'Assumption Table'!$C$77</f>
        <v>1121224.4572436723</v>
      </c>
      <c r="AY72" s="27">
        <f ca="1">AY51*'Assumption Table'!$C$77</f>
        <v>894214.33745235507</v>
      </c>
      <c r="AZ72" s="27">
        <f ca="1">AZ51*'Assumption Table'!$C$77</f>
        <v>1261257.97716041</v>
      </c>
      <c r="BA72" s="27">
        <f ca="1">BA51*'Assumption Table'!$C$77</f>
        <v>810899.72623663303</v>
      </c>
      <c r="BB72" s="27">
        <f ca="1">BB51*'Assumption Table'!$C$77</f>
        <v>1110836.1828860373</v>
      </c>
      <c r="BC72" s="27">
        <f ca="1">BC51*'Assumption Table'!$C$77</f>
        <v>1605481.6570826834</v>
      </c>
      <c r="BD72" s="27">
        <f ca="1">BD51*'Assumption Table'!$C$77</f>
        <v>1606589.4416481974</v>
      </c>
      <c r="BE72" s="27">
        <f ca="1">BE51*'Assumption Table'!$C$77</f>
        <v>2136180.7492970848</v>
      </c>
      <c r="BF72" s="27">
        <f ca="1">BF51*'Assumption Table'!$C$77</f>
        <v>2132190.8376086652</v>
      </c>
      <c r="BG72" s="27">
        <f ca="1">BG51*'Assumption Table'!$C$77</f>
        <v>1923400.5941693825</v>
      </c>
      <c r="BH72" s="27">
        <f ca="1">BH51*'Assumption Table'!$C$77</f>
        <v>1124211.7385854686</v>
      </c>
      <c r="BI72" s="97">
        <f ca="1">BI51*'Assumption Table'!$C$77</f>
        <v>1917206.228289732</v>
      </c>
      <c r="BJ72" s="17" t="str">
        <f t="shared" si="29"/>
        <v>Technology and Infrastructure</v>
      </c>
      <c r="BK72" s="127">
        <f ca="1">SUMIFS($B72:$BI72,$B$4:$BI$4,"&lt;=12")</f>
        <v>1337336.8360054516</v>
      </c>
      <c r="BL72" s="127">
        <f ca="1">SUMIFS($B72:$BI72,$B$4:$BI$4,"&lt;=24",$B$4:$BI$4,"&gt;12")</f>
        <v>4318030.1235472783</v>
      </c>
      <c r="BM72" s="127">
        <f ca="1">SUMIFS($B72:$BI72,$B$4:$BI$4,"&lt;=36",$B$4:$BI$4,"&gt;24")</f>
        <v>7580923.0047012139</v>
      </c>
      <c r="BN72" s="127">
        <f ca="1">SUMIFS($B72:$BI72,$B$4:$BI$4,"&lt;=48",$B$4:$BI$4,"&gt;36")</f>
        <v>10939625.670367327</v>
      </c>
      <c r="BO72" s="127">
        <f ca="1">SUMIFS($B72:$BI72,$B$4:$BI$4,"&lt;=60",$B$4:$BI$4,"&gt;48")</f>
        <v>17643693.92766032</v>
      </c>
    </row>
    <row r="73" spans="1:67" ht="13.4" customHeight="1">
      <c r="A73" s="4" t="s">
        <v>74</v>
      </c>
      <c r="B73" s="27">
        <f ca="1">B51*'Assumption Table'!$C$78</f>
        <v>1820.8563109608158</v>
      </c>
      <c r="C73" s="27">
        <f ca="1">C51*'Assumption Table'!$C$78</f>
        <v>3518.645543110209</v>
      </c>
      <c r="D73" s="27">
        <f ca="1">D51*'Assumption Table'!$C$78</f>
        <v>6871.3249031233663</v>
      </c>
      <c r="E73" s="27">
        <f ca="1">E51*'Assumption Table'!$C$78</f>
        <v>4824.3962193564066</v>
      </c>
      <c r="F73" s="27">
        <f ca="1">F51*'Assumption Table'!$C$78</f>
        <v>6475.1693398876932</v>
      </c>
      <c r="G73" s="27">
        <f ca="1">G51*'Assumption Table'!$C$78</f>
        <v>11097.911050954797</v>
      </c>
      <c r="H73" s="27">
        <f ca="1">H51*'Assumption Table'!$C$78</f>
        <v>10688.881485457476</v>
      </c>
      <c r="I73" s="27">
        <f ca="1">I51*'Assumption Table'!$C$78</f>
        <v>14941.515285152098</v>
      </c>
      <c r="J73" s="27">
        <f ca="1">J51*'Assumption Table'!$C$78</f>
        <v>18868.32279972508</v>
      </c>
      <c r="K73" s="27">
        <f ca="1">K51*'Assumption Table'!$C$78</f>
        <v>18716.265766750814</v>
      </c>
      <c r="L73" s="27">
        <f ca="1">L51*'Assumption Table'!$C$78</f>
        <v>21892.311225231704</v>
      </c>
      <c r="M73" s="27">
        <f ca="1">M51*'Assumption Table'!$C$78</f>
        <v>14018.083670834696</v>
      </c>
      <c r="N73" s="27">
        <f ca="1">N51*'Assumption Table'!$C$78</f>
        <v>29544.215671449969</v>
      </c>
      <c r="O73" s="27">
        <f ca="1">O51*'Assumption Table'!$C$78</f>
        <v>29265.133312614664</v>
      </c>
      <c r="P73" s="27">
        <f ca="1">P51*'Assumption Table'!$C$78</f>
        <v>36118.446359708345</v>
      </c>
      <c r="Q73" s="27">
        <f ca="1">Q51*'Assumption Table'!$C$78</f>
        <v>31192.291192094694</v>
      </c>
      <c r="R73" s="27">
        <f ca="1">R51*'Assumption Table'!$C$78</f>
        <v>35403.053823845083</v>
      </c>
      <c r="S73" s="27">
        <f ca="1">S51*'Assumption Table'!$C$78</f>
        <v>29195.280365793933</v>
      </c>
      <c r="T73" s="27">
        <f ca="1">T51*'Assumption Table'!$C$78</f>
        <v>30514.172557190737</v>
      </c>
      <c r="U73" s="27">
        <f ca="1">U51*'Assumption Table'!$C$78</f>
        <v>28583.357439790034</v>
      </c>
      <c r="V73" s="27">
        <f ca="1">V51*'Assumption Table'!$C$78</f>
        <v>46346.729427371269</v>
      </c>
      <c r="W73" s="27">
        <f ca="1">W51*'Assumption Table'!$C$78</f>
        <v>52031.083911534653</v>
      </c>
      <c r="X73" s="27">
        <f ca="1">X51*'Assumption Table'!$C$78</f>
        <v>48726.131118234385</v>
      </c>
      <c r="Y73" s="27">
        <f ca="1">Y51*'Assumption Table'!$C$78</f>
        <v>34883.117175100095</v>
      </c>
      <c r="Z73" s="27">
        <f ca="1">Z51*'Assumption Table'!$C$78</f>
        <v>68930.866662446933</v>
      </c>
      <c r="AA73" s="27">
        <f ca="1">AA51*'Assumption Table'!$C$78</f>
        <v>53835.465739884014</v>
      </c>
      <c r="AB73" s="27">
        <f ca="1">AB51*'Assumption Table'!$C$78</f>
        <v>48473.612316927931</v>
      </c>
      <c r="AC73" s="27">
        <f ca="1">AC51*'Assumption Table'!$C$78</f>
        <v>74490.945688335341</v>
      </c>
      <c r="AD73" s="27">
        <f ca="1">AD51*'Assumption Table'!$C$78</f>
        <v>46815.147310063097</v>
      </c>
      <c r="AE73" s="27">
        <f ca="1">AE51*'Assumption Table'!$C$78</f>
        <v>81728.477561474821</v>
      </c>
      <c r="AF73" s="27">
        <f ca="1">AF51*'Assumption Table'!$C$78</f>
        <v>53135.452396808745</v>
      </c>
      <c r="AG73" s="27">
        <f ca="1">AG51*'Assumption Table'!$C$78</f>
        <v>35730.143696628365</v>
      </c>
      <c r="AH73" s="27">
        <f ca="1">AH51*'Assumption Table'!$C$78</f>
        <v>42077.807218796428</v>
      </c>
      <c r="AI73" s="27">
        <f ca="1">AI51*'Assumption Table'!$C$78</f>
        <v>60253.759793201767</v>
      </c>
      <c r="AJ73" s="27">
        <f ca="1">AJ51*'Assumption Table'!$C$78</f>
        <v>126790.16012249808</v>
      </c>
      <c r="AK73" s="27">
        <f ca="1">AK51*'Assumption Table'!$C$78</f>
        <v>65830.461963055932</v>
      </c>
      <c r="AL73" s="27">
        <f ca="1">AL51*'Assumption Table'!$C$78</f>
        <v>102846.01219654748</v>
      </c>
      <c r="AM73" s="27">
        <f ca="1">AM51*'Assumption Table'!$C$78</f>
        <v>111847.86508164699</v>
      </c>
      <c r="AN73" s="27">
        <f ca="1">AN51*'Assumption Table'!$C$78</f>
        <v>88987.751334864151</v>
      </c>
      <c r="AO73" s="27">
        <f ca="1">AO51*'Assumption Table'!$C$78</f>
        <v>42701.971105757199</v>
      </c>
      <c r="AP73" s="27">
        <f ca="1">AP51*'Assumption Table'!$C$78</f>
        <v>52857.754110959453</v>
      </c>
      <c r="AQ73" s="27">
        <f ca="1">AQ51*'Assumption Table'!$C$78</f>
        <v>78625.077576071038</v>
      </c>
      <c r="AR73" s="27">
        <f ca="1">AR51*'Assumption Table'!$C$78</f>
        <v>49103.444390497702</v>
      </c>
      <c r="AS73" s="27">
        <f ca="1">AS51*'Assumption Table'!$C$78</f>
        <v>111042.92511727808</v>
      </c>
      <c r="AT73" s="27">
        <f ca="1">AT51*'Assumption Table'!$C$78</f>
        <v>114186.02453849977</v>
      </c>
      <c r="AU73" s="27">
        <f ca="1">AU51*'Assumption Table'!$C$78</f>
        <v>103317.74495193368</v>
      </c>
      <c r="AV73" s="27">
        <f ca="1">AV51*'Assumption Table'!$C$78</f>
        <v>113263.36829047099</v>
      </c>
      <c r="AW73" s="27">
        <f ca="1">AW51*'Assumption Table'!$C$78</f>
        <v>125182.62834220627</v>
      </c>
      <c r="AX73" s="27">
        <f ca="1">AX51*'Assumption Table'!$C$78</f>
        <v>112122.44572436722</v>
      </c>
      <c r="AY73" s="27">
        <f ca="1">AY51*'Assumption Table'!$C$78</f>
        <v>89421.43374523551</v>
      </c>
      <c r="AZ73" s="27">
        <f ca="1">AZ51*'Assumption Table'!$C$78</f>
        <v>126125.79771604099</v>
      </c>
      <c r="BA73" s="27">
        <f ca="1">BA51*'Assumption Table'!$C$78</f>
        <v>81089.9726236633</v>
      </c>
      <c r="BB73" s="27">
        <f ca="1">BB51*'Assumption Table'!$C$78</f>
        <v>111083.61828860373</v>
      </c>
      <c r="BC73" s="27">
        <f ca="1">BC51*'Assumption Table'!$C$78</f>
        <v>160548.16570826832</v>
      </c>
      <c r="BD73" s="27">
        <f ca="1">BD51*'Assumption Table'!$C$78</f>
        <v>160658.94416481972</v>
      </c>
      <c r="BE73" s="27">
        <f ca="1">BE51*'Assumption Table'!$C$78</f>
        <v>213618.07492970847</v>
      </c>
      <c r="BF73" s="27">
        <f ca="1">BF51*'Assumption Table'!$C$78</f>
        <v>213219.08376086652</v>
      </c>
      <c r="BG73" s="27">
        <f ca="1">BG51*'Assumption Table'!$C$78</f>
        <v>192340.05941693825</v>
      </c>
      <c r="BH73" s="27">
        <f ca="1">BH51*'Assumption Table'!$C$78</f>
        <v>112421.17385854686</v>
      </c>
      <c r="BI73" s="97">
        <f ca="1">BI51*'Assumption Table'!$C$78</f>
        <v>191720.6228289732</v>
      </c>
      <c r="BJ73" s="17" t="str">
        <f t="shared" si="29"/>
        <v>Other Operating Expenses</v>
      </c>
      <c r="BK73" s="127">
        <f ca="1">SUMIFS($B73:$BI73,$B$4:$BI$4,"&lt;=12")</f>
        <v>133733.68360054516</v>
      </c>
      <c r="BL73" s="127">
        <f ca="1">SUMIFS($B73:$BI73,$B$4:$BI$4,"&lt;=24",$B$4:$BI$4,"&gt;12")</f>
        <v>431803.01235472783</v>
      </c>
      <c r="BM73" s="127">
        <f ca="1">SUMIFS($B73:$BI73,$B$4:$BI$4,"&lt;=36",$B$4:$BI$4,"&gt;24")</f>
        <v>758092.30047012144</v>
      </c>
      <c r="BN73" s="127">
        <f ca="1">SUMIFS($B73:$BI73,$B$4:$BI$4,"&lt;=48",$B$4:$BI$4,"&gt;36")</f>
        <v>1093962.5670367328</v>
      </c>
      <c r="BO73" s="127">
        <f ca="1">SUMIFS($B73:$BI73,$B$4:$BI$4,"&lt;=60",$B$4:$BI$4,"&gt;48")</f>
        <v>1764369.3927660321</v>
      </c>
    </row>
    <row r="74" spans="1:67" ht="13.4" customHeight="1">
      <c r="A74" s="4"/>
      <c r="B74" s="6"/>
      <c r="C74" s="6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13"/>
      <c r="BJ74" s="34">
        <f t="shared" si="29"/>
        <v>0</v>
      </c>
      <c r="BK74" s="36"/>
      <c r="BL74" s="36"/>
      <c r="BM74" s="36"/>
      <c r="BN74" s="36"/>
      <c r="BO74" s="36"/>
    </row>
    <row r="75" spans="1:67" ht="13.4" customHeight="1">
      <c r="A75" s="128" t="s">
        <v>246</v>
      </c>
      <c r="B75" s="129" t="e">
        <f t="shared" ref="B75:AG75" ca="1" si="34">SUM(B66:B73)</f>
        <v>#NAME?</v>
      </c>
      <c r="C75" s="129" t="e">
        <f t="shared" ca="1" si="34"/>
        <v>#NAME?</v>
      </c>
      <c r="D75" s="129" t="e">
        <f t="shared" ca="1" si="34"/>
        <v>#NAME?</v>
      </c>
      <c r="E75" s="129" t="e">
        <f t="shared" ca="1" si="34"/>
        <v>#NAME?</v>
      </c>
      <c r="F75" s="129" t="e">
        <f t="shared" ca="1" si="34"/>
        <v>#NAME?</v>
      </c>
      <c r="G75" s="129" t="e">
        <f t="shared" ca="1" si="34"/>
        <v>#NAME?</v>
      </c>
      <c r="H75" s="129" t="e">
        <f t="shared" ca="1" si="34"/>
        <v>#NAME?</v>
      </c>
      <c r="I75" s="129" t="e">
        <f t="shared" ca="1" si="34"/>
        <v>#NAME?</v>
      </c>
      <c r="J75" s="129" t="e">
        <f t="shared" ca="1" si="34"/>
        <v>#NAME?</v>
      </c>
      <c r="K75" s="129" t="e">
        <f t="shared" ca="1" si="34"/>
        <v>#NAME?</v>
      </c>
      <c r="L75" s="129" t="e">
        <f t="shared" ca="1" si="34"/>
        <v>#NAME?</v>
      </c>
      <c r="M75" s="129" t="e">
        <f t="shared" ca="1" si="34"/>
        <v>#NAME?</v>
      </c>
      <c r="N75" s="129" t="e">
        <f t="shared" ca="1" si="34"/>
        <v>#NAME?</v>
      </c>
      <c r="O75" s="129" t="e">
        <f t="shared" ca="1" si="34"/>
        <v>#NAME?</v>
      </c>
      <c r="P75" s="129" t="e">
        <f t="shared" ca="1" si="34"/>
        <v>#NAME?</v>
      </c>
      <c r="Q75" s="129" t="e">
        <f t="shared" ca="1" si="34"/>
        <v>#NAME?</v>
      </c>
      <c r="R75" s="129" t="e">
        <f t="shared" ca="1" si="34"/>
        <v>#NAME?</v>
      </c>
      <c r="S75" s="129" t="e">
        <f t="shared" ca="1" si="34"/>
        <v>#NAME?</v>
      </c>
      <c r="T75" s="129" t="e">
        <f t="shared" ca="1" si="34"/>
        <v>#NAME?</v>
      </c>
      <c r="U75" s="129" t="e">
        <f t="shared" ca="1" si="34"/>
        <v>#NAME?</v>
      </c>
      <c r="V75" s="129" t="e">
        <f t="shared" ca="1" si="34"/>
        <v>#NAME?</v>
      </c>
      <c r="W75" s="129" t="e">
        <f t="shared" ca="1" si="34"/>
        <v>#NAME?</v>
      </c>
      <c r="X75" s="129" t="e">
        <f t="shared" ca="1" si="34"/>
        <v>#NAME?</v>
      </c>
      <c r="Y75" s="129" t="e">
        <f t="shared" ca="1" si="34"/>
        <v>#NAME?</v>
      </c>
      <c r="Z75" s="129" t="e">
        <f t="shared" ca="1" si="34"/>
        <v>#NAME?</v>
      </c>
      <c r="AA75" s="129" t="e">
        <f t="shared" ca="1" si="34"/>
        <v>#NAME?</v>
      </c>
      <c r="AB75" s="129" t="e">
        <f t="shared" ca="1" si="34"/>
        <v>#NAME?</v>
      </c>
      <c r="AC75" s="129" t="e">
        <f t="shared" ca="1" si="34"/>
        <v>#NAME?</v>
      </c>
      <c r="AD75" s="129" t="e">
        <f t="shared" ca="1" si="34"/>
        <v>#NAME?</v>
      </c>
      <c r="AE75" s="129" t="e">
        <f t="shared" ca="1" si="34"/>
        <v>#NAME?</v>
      </c>
      <c r="AF75" s="129" t="e">
        <f t="shared" ca="1" si="34"/>
        <v>#NAME?</v>
      </c>
      <c r="AG75" s="129" t="e">
        <f t="shared" ca="1" si="34"/>
        <v>#NAME?</v>
      </c>
      <c r="AH75" s="129" t="e">
        <f t="shared" ref="AH75:BI75" ca="1" si="35">SUM(AH66:AH73)</f>
        <v>#NAME?</v>
      </c>
      <c r="AI75" s="129" t="e">
        <f t="shared" ca="1" si="35"/>
        <v>#NAME?</v>
      </c>
      <c r="AJ75" s="129" t="e">
        <f t="shared" ca="1" si="35"/>
        <v>#NAME?</v>
      </c>
      <c r="AK75" s="129" t="e">
        <f t="shared" ca="1" si="35"/>
        <v>#NAME?</v>
      </c>
      <c r="AL75" s="129" t="e">
        <f t="shared" ca="1" si="35"/>
        <v>#NAME?</v>
      </c>
      <c r="AM75" s="129" t="e">
        <f t="shared" ca="1" si="35"/>
        <v>#NAME?</v>
      </c>
      <c r="AN75" s="129" t="e">
        <f t="shared" ca="1" si="35"/>
        <v>#NAME?</v>
      </c>
      <c r="AO75" s="129" t="e">
        <f t="shared" ca="1" si="35"/>
        <v>#NAME?</v>
      </c>
      <c r="AP75" s="129" t="e">
        <f t="shared" ca="1" si="35"/>
        <v>#NAME?</v>
      </c>
      <c r="AQ75" s="129" t="e">
        <f t="shared" ca="1" si="35"/>
        <v>#NAME?</v>
      </c>
      <c r="AR75" s="129" t="e">
        <f t="shared" ca="1" si="35"/>
        <v>#NAME?</v>
      </c>
      <c r="AS75" s="129" t="e">
        <f t="shared" ca="1" si="35"/>
        <v>#NAME?</v>
      </c>
      <c r="AT75" s="129" t="e">
        <f t="shared" ca="1" si="35"/>
        <v>#NAME?</v>
      </c>
      <c r="AU75" s="129" t="e">
        <f t="shared" ca="1" si="35"/>
        <v>#NAME?</v>
      </c>
      <c r="AV75" s="129" t="e">
        <f t="shared" ca="1" si="35"/>
        <v>#NAME?</v>
      </c>
      <c r="AW75" s="129" t="e">
        <f t="shared" ca="1" si="35"/>
        <v>#NAME?</v>
      </c>
      <c r="AX75" s="129" t="e">
        <f t="shared" ca="1" si="35"/>
        <v>#NAME?</v>
      </c>
      <c r="AY75" s="129" t="e">
        <f t="shared" ca="1" si="35"/>
        <v>#NAME?</v>
      </c>
      <c r="AZ75" s="129" t="e">
        <f t="shared" ca="1" si="35"/>
        <v>#NAME?</v>
      </c>
      <c r="BA75" s="129" t="e">
        <f t="shared" ca="1" si="35"/>
        <v>#NAME?</v>
      </c>
      <c r="BB75" s="129" t="e">
        <f t="shared" ca="1" si="35"/>
        <v>#NAME?</v>
      </c>
      <c r="BC75" s="129" t="e">
        <f t="shared" ca="1" si="35"/>
        <v>#NAME?</v>
      </c>
      <c r="BD75" s="129" t="e">
        <f t="shared" ca="1" si="35"/>
        <v>#NAME?</v>
      </c>
      <c r="BE75" s="129" t="e">
        <f t="shared" ca="1" si="35"/>
        <v>#NAME?</v>
      </c>
      <c r="BF75" s="129" t="e">
        <f t="shared" ca="1" si="35"/>
        <v>#NAME?</v>
      </c>
      <c r="BG75" s="129" t="e">
        <f t="shared" ca="1" si="35"/>
        <v>#NAME?</v>
      </c>
      <c r="BH75" s="129" t="e">
        <f t="shared" ca="1" si="35"/>
        <v>#NAME?</v>
      </c>
      <c r="BI75" s="130" t="e">
        <f t="shared" ca="1" si="35"/>
        <v>#NAME?</v>
      </c>
      <c r="BJ75" s="131" t="str">
        <f t="shared" si="29"/>
        <v>Total Monthly Expenses</v>
      </c>
      <c r="BK75" s="127" t="e">
        <f ca="1">SUMIFS($B75:$BI75,$B$4:$BI$4,"&lt;=12")</f>
        <v>#NAME?</v>
      </c>
      <c r="BL75" s="127" t="e">
        <f ca="1">SUMIFS($B75:$BI75,$B$4:$BI$4,"&lt;=24",$B$4:$BI$4,"&gt;12")</f>
        <v>#NAME?</v>
      </c>
      <c r="BM75" s="127" t="e">
        <f ca="1">SUMIFS($B75:$BI75,$B$4:$BI$4,"&lt;=36",$B$4:$BI$4,"&gt;24")</f>
        <v>#NAME?</v>
      </c>
      <c r="BN75" s="127" t="e">
        <f ca="1">SUMIFS($B75:$BI75,$B$4:$BI$4,"&lt;=48",$B$4:$BI$4,"&gt;36")</f>
        <v>#NAME?</v>
      </c>
      <c r="BO75" s="127" t="e">
        <f ca="1">SUMIFS($B75:$BI75,$B$4:$BI$4,"&lt;=60",$B$4:$BI$4,"&gt;48")</f>
        <v>#NAME?</v>
      </c>
    </row>
    <row r="76" spans="1:67" ht="13.4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4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9"/>
      <c r="BJ76" s="8">
        <f t="shared" si="29"/>
        <v>0</v>
      </c>
      <c r="BK76" s="6"/>
      <c r="BL76" s="6"/>
      <c r="BM76" s="6"/>
      <c r="BN76" s="6"/>
      <c r="BO76" s="6"/>
    </row>
    <row r="77" spans="1:67" ht="12.95" customHeight="1">
      <c r="A77" s="82" t="s">
        <v>247</v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3" t="str">
        <f t="shared" si="29"/>
        <v>Capital Expenditure Projection</v>
      </c>
      <c r="BK77" s="84"/>
      <c r="BL77" s="84"/>
      <c r="BM77" s="84"/>
      <c r="BN77" s="84"/>
      <c r="BO77" s="84"/>
    </row>
    <row r="78" spans="1:67" ht="13.4" customHeight="1">
      <c r="A78" s="132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4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9"/>
      <c r="BJ78" s="134">
        <f t="shared" si="29"/>
        <v>0</v>
      </c>
      <c r="BK78" s="133"/>
      <c r="BL78" s="133"/>
      <c r="BM78" s="133"/>
      <c r="BN78" s="133"/>
      <c r="BO78" s="133"/>
    </row>
    <row r="79" spans="1:67" ht="12.95" customHeight="1">
      <c r="A79" s="121"/>
      <c r="B79" s="122" t="s">
        <v>151</v>
      </c>
      <c r="C79" s="122" t="s">
        <v>152</v>
      </c>
      <c r="D79" s="122" t="s">
        <v>153</v>
      </c>
      <c r="E79" s="122" t="s">
        <v>154</v>
      </c>
      <c r="F79" s="122" t="s">
        <v>155</v>
      </c>
      <c r="G79" s="122" t="s">
        <v>156</v>
      </c>
      <c r="H79" s="122" t="s">
        <v>157</v>
      </c>
      <c r="I79" s="122" t="s">
        <v>158</v>
      </c>
      <c r="J79" s="122" t="s">
        <v>159</v>
      </c>
      <c r="K79" s="122" t="s">
        <v>160</v>
      </c>
      <c r="L79" s="122" t="s">
        <v>161</v>
      </c>
      <c r="M79" s="122" t="s">
        <v>162</v>
      </c>
      <c r="N79" s="122" t="s">
        <v>163</v>
      </c>
      <c r="O79" s="122" t="s">
        <v>164</v>
      </c>
      <c r="P79" s="122" t="s">
        <v>165</v>
      </c>
      <c r="Q79" s="122" t="s">
        <v>166</v>
      </c>
      <c r="R79" s="122" t="s">
        <v>167</v>
      </c>
      <c r="S79" s="122" t="s">
        <v>168</v>
      </c>
      <c r="T79" s="122" t="s">
        <v>169</v>
      </c>
      <c r="U79" s="122" t="s">
        <v>170</v>
      </c>
      <c r="V79" s="122" t="s">
        <v>171</v>
      </c>
      <c r="W79" s="122" t="s">
        <v>172</v>
      </c>
      <c r="X79" s="122" t="s">
        <v>173</v>
      </c>
      <c r="Y79" s="122" t="s">
        <v>174</v>
      </c>
      <c r="Z79" s="122" t="s">
        <v>175</v>
      </c>
      <c r="AA79" s="122" t="s">
        <v>176</v>
      </c>
      <c r="AB79" s="122" t="s">
        <v>177</v>
      </c>
      <c r="AC79" s="122" t="s">
        <v>178</v>
      </c>
      <c r="AD79" s="122" t="s">
        <v>179</v>
      </c>
      <c r="AE79" s="122" t="s">
        <v>180</v>
      </c>
      <c r="AF79" s="122" t="s">
        <v>181</v>
      </c>
      <c r="AG79" s="122" t="s">
        <v>182</v>
      </c>
      <c r="AH79" s="122" t="s">
        <v>183</v>
      </c>
      <c r="AI79" s="122" t="s">
        <v>184</v>
      </c>
      <c r="AJ79" s="122" t="s">
        <v>185</v>
      </c>
      <c r="AK79" s="122" t="s">
        <v>186</v>
      </c>
      <c r="AL79" s="122" t="s">
        <v>187</v>
      </c>
      <c r="AM79" s="122" t="s">
        <v>188</v>
      </c>
      <c r="AN79" s="122" t="s">
        <v>189</v>
      </c>
      <c r="AO79" s="122" t="s">
        <v>190</v>
      </c>
      <c r="AP79" s="122" t="s">
        <v>191</v>
      </c>
      <c r="AQ79" s="122" t="s">
        <v>192</v>
      </c>
      <c r="AR79" s="122" t="s">
        <v>193</v>
      </c>
      <c r="AS79" s="122" t="s">
        <v>194</v>
      </c>
      <c r="AT79" s="122" t="s">
        <v>195</v>
      </c>
      <c r="AU79" s="122" t="s">
        <v>196</v>
      </c>
      <c r="AV79" s="122" t="s">
        <v>197</v>
      </c>
      <c r="AW79" s="122" t="s">
        <v>198</v>
      </c>
      <c r="AX79" s="122" t="s">
        <v>199</v>
      </c>
      <c r="AY79" s="122" t="s">
        <v>200</v>
      </c>
      <c r="AZ79" s="122" t="s">
        <v>201</v>
      </c>
      <c r="BA79" s="122" t="s">
        <v>202</v>
      </c>
      <c r="BB79" s="122" t="s">
        <v>203</v>
      </c>
      <c r="BC79" s="122" t="s">
        <v>204</v>
      </c>
      <c r="BD79" s="122" t="s">
        <v>205</v>
      </c>
      <c r="BE79" s="122" t="s">
        <v>206</v>
      </c>
      <c r="BF79" s="122" t="s">
        <v>207</v>
      </c>
      <c r="BG79" s="122" t="s">
        <v>208</v>
      </c>
      <c r="BH79" s="122" t="s">
        <v>209</v>
      </c>
      <c r="BI79" s="123" t="s">
        <v>210</v>
      </c>
      <c r="BJ79" s="124">
        <f t="shared" si="29"/>
        <v>0</v>
      </c>
      <c r="BK79" s="81" t="s">
        <v>151</v>
      </c>
      <c r="BL79" s="81" t="s">
        <v>152</v>
      </c>
      <c r="BM79" s="81" t="s">
        <v>153</v>
      </c>
      <c r="BN79" s="81" t="s">
        <v>154</v>
      </c>
      <c r="BO79" s="81" t="s">
        <v>155</v>
      </c>
    </row>
    <row r="80" spans="1:67" ht="13.4" customHeight="1">
      <c r="A80" s="5" t="s">
        <v>81</v>
      </c>
      <c r="B80" s="4"/>
      <c r="C80" s="6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9"/>
      <c r="BJ80" s="8" t="str">
        <f t="shared" si="29"/>
        <v>Technology Infrastructure</v>
      </c>
      <c r="BK80" s="6"/>
      <c r="BL80" s="6"/>
      <c r="BM80" s="6"/>
      <c r="BN80" s="6"/>
      <c r="BO80" s="6"/>
    </row>
    <row r="81" spans="1:67" ht="13.4" customHeight="1">
      <c r="A81" s="98" t="s">
        <v>82</v>
      </c>
      <c r="B81" s="27">
        <f ca="1">VLOOKUP($A81,'Assumption Table'!$B$83:$D$101,3,FALSE)*B$51</f>
        <v>5462.5689328824474</v>
      </c>
      <c r="C81" s="27">
        <f ca="1">VLOOKUP($A81,'Assumption Table'!$B$83:$D$101,3,FALSE)*C$51</f>
        <v>10555.936629330627</v>
      </c>
      <c r="D81" s="27">
        <f ca="1">VLOOKUP($A81,'Assumption Table'!$B$83:$D$101,3,FALSE)*D$51</f>
        <v>20613.974709370097</v>
      </c>
      <c r="E81" s="27">
        <f ca="1">VLOOKUP($A81,'Assumption Table'!$B$83:$D$101,3,FALSE)*E$51</f>
        <v>14473.188658069219</v>
      </c>
      <c r="F81" s="27">
        <f ca="1">VLOOKUP($A81,'Assumption Table'!$B$83:$D$101,3,FALSE)*F$51</f>
        <v>19425.508019663077</v>
      </c>
      <c r="G81" s="27">
        <f ca="1">VLOOKUP($A81,'Assumption Table'!$B$83:$D$101,3,FALSE)*G$51</f>
        <v>33293.733152864384</v>
      </c>
      <c r="H81" s="27">
        <f ca="1">VLOOKUP($A81,'Assumption Table'!$B$83:$D$101,3,FALSE)*H$51</f>
        <v>32066.644456372429</v>
      </c>
      <c r="I81" s="27">
        <f ca="1">VLOOKUP($A81,'Assumption Table'!$B$83:$D$101,3,FALSE)*I$51</f>
        <v>44824.545855456287</v>
      </c>
      <c r="J81" s="27">
        <f ca="1">VLOOKUP($A81,'Assumption Table'!$B$83:$D$101,3,FALSE)*J$51</f>
        <v>56604.968399175239</v>
      </c>
      <c r="K81" s="27">
        <f ca="1">VLOOKUP($A81,'Assumption Table'!$B$83:$D$101,3,FALSE)*K$51</f>
        <v>56148.797300252438</v>
      </c>
      <c r="L81" s="27">
        <f ca="1">VLOOKUP($A81,'Assumption Table'!$B$83:$D$101,3,FALSE)*L$51</f>
        <v>65676.933675695109</v>
      </c>
      <c r="M81" s="27">
        <f ca="1">VLOOKUP($A81,'Assumption Table'!$B$83:$D$101,3,FALSE)*M$51</f>
        <v>42054.251012504086</v>
      </c>
      <c r="N81" s="27">
        <f ca="1">VLOOKUP($A81,'Assumption Table'!$B$83:$D$101,3,FALSE)*N$51</f>
        <v>88632.647014349903</v>
      </c>
      <c r="O81" s="27">
        <f ca="1">VLOOKUP($A81,'Assumption Table'!$B$83:$D$101,3,FALSE)*O$51</f>
        <v>87795.399937843991</v>
      </c>
      <c r="P81" s="27">
        <f ca="1">VLOOKUP($A81,'Assumption Table'!$B$83:$D$101,3,FALSE)*P$51</f>
        <v>108355.33907912504</v>
      </c>
      <c r="Q81" s="27">
        <f ca="1">VLOOKUP($A81,'Assumption Table'!$B$83:$D$101,3,FALSE)*Q$51</f>
        <v>93576.873576284081</v>
      </c>
      <c r="R81" s="27">
        <f ca="1">VLOOKUP($A81,'Assumption Table'!$B$83:$D$101,3,FALSE)*R$51</f>
        <v>106209.16147153523</v>
      </c>
      <c r="S81" s="27">
        <f ca="1">VLOOKUP($A81,'Assumption Table'!$B$83:$D$101,3,FALSE)*S$51</f>
        <v>87585.841097381795</v>
      </c>
      <c r="T81" s="27">
        <f ca="1">VLOOKUP($A81,'Assumption Table'!$B$83:$D$101,3,FALSE)*T$51</f>
        <v>91542.517671572205</v>
      </c>
      <c r="U81" s="27">
        <f ca="1">VLOOKUP($A81,'Assumption Table'!$B$83:$D$101,3,FALSE)*U$51</f>
        <v>85750.072319370098</v>
      </c>
      <c r="V81" s="27">
        <f ca="1">VLOOKUP($A81,'Assumption Table'!$B$83:$D$101,3,FALSE)*V$51</f>
        <v>139040.18828211378</v>
      </c>
      <c r="W81" s="27">
        <f ca="1">VLOOKUP($A81,'Assumption Table'!$B$83:$D$101,3,FALSE)*W$51</f>
        <v>156093.25173460395</v>
      </c>
      <c r="X81" s="27">
        <f ca="1">VLOOKUP($A81,'Assumption Table'!$B$83:$D$101,3,FALSE)*X$51</f>
        <v>146178.39335470315</v>
      </c>
      <c r="Y81" s="27">
        <f ca="1">VLOOKUP($A81,'Assumption Table'!$B$83:$D$101,3,FALSE)*Y$51</f>
        <v>104649.35152530027</v>
      </c>
      <c r="Z81" s="27">
        <f ca="1">VLOOKUP($A81,'Assumption Table'!$B$83:$D$101,3,FALSE)*Z$51</f>
        <v>206792.59998734077</v>
      </c>
      <c r="AA81" s="27">
        <f ca="1">VLOOKUP($A81,'Assumption Table'!$B$83:$D$101,3,FALSE)*AA$51</f>
        <v>161506.39721965205</v>
      </c>
      <c r="AB81" s="27">
        <f ca="1">VLOOKUP($A81,'Assumption Table'!$B$83:$D$101,3,FALSE)*AB$51</f>
        <v>145420.83695078379</v>
      </c>
      <c r="AC81" s="27">
        <f ca="1">VLOOKUP($A81,'Assumption Table'!$B$83:$D$101,3,FALSE)*AC$51</f>
        <v>223472.83706500602</v>
      </c>
      <c r="AD81" s="27">
        <f ca="1">VLOOKUP($A81,'Assumption Table'!$B$83:$D$101,3,FALSE)*AD$51</f>
        <v>140445.44193018926</v>
      </c>
      <c r="AE81" s="27">
        <f ca="1">VLOOKUP($A81,'Assumption Table'!$B$83:$D$101,3,FALSE)*AE$51</f>
        <v>245185.43268442445</v>
      </c>
      <c r="AF81" s="27">
        <f ca="1">VLOOKUP($A81,'Assumption Table'!$B$83:$D$101,3,FALSE)*AF$51</f>
        <v>159406.35719042621</v>
      </c>
      <c r="AG81" s="27">
        <f ca="1">VLOOKUP($A81,'Assumption Table'!$B$83:$D$101,3,FALSE)*AG$51</f>
        <v>107190.4310898851</v>
      </c>
      <c r="AH81" s="27">
        <f ca="1">VLOOKUP($A81,'Assumption Table'!$B$83:$D$101,3,FALSE)*AH$51</f>
        <v>126233.42165638927</v>
      </c>
      <c r="AI81" s="27">
        <f ca="1">VLOOKUP($A81,'Assumption Table'!$B$83:$D$101,3,FALSE)*AI$51</f>
        <v>180761.27937960529</v>
      </c>
      <c r="AJ81" s="27">
        <f ca="1">VLOOKUP($A81,'Assumption Table'!$B$83:$D$101,3,FALSE)*AJ$51</f>
        <v>380370.48036749422</v>
      </c>
      <c r="AK81" s="27">
        <f ca="1">VLOOKUP($A81,'Assumption Table'!$B$83:$D$101,3,FALSE)*AK$51</f>
        <v>197491.38588916781</v>
      </c>
      <c r="AL81" s="27">
        <f ca="1">VLOOKUP($A81,'Assumption Table'!$B$83:$D$101,3,FALSE)*AL$51</f>
        <v>308538.03658964246</v>
      </c>
      <c r="AM81" s="27">
        <f ca="1">VLOOKUP($A81,'Assumption Table'!$B$83:$D$101,3,FALSE)*AM$51</f>
        <v>335543.59524494095</v>
      </c>
      <c r="AN81" s="27">
        <f ca="1">VLOOKUP($A81,'Assumption Table'!$B$83:$D$101,3,FALSE)*AN$51</f>
        <v>266963.25400459243</v>
      </c>
      <c r="AO81" s="27">
        <f ca="1">VLOOKUP($A81,'Assumption Table'!$B$83:$D$101,3,FALSE)*AO$51</f>
        <v>128105.91331727158</v>
      </c>
      <c r="AP81" s="27">
        <f ca="1">VLOOKUP($A81,'Assumption Table'!$B$83:$D$101,3,FALSE)*AP$51</f>
        <v>158573.26233287834</v>
      </c>
      <c r="AQ81" s="27">
        <f ca="1">VLOOKUP($A81,'Assumption Table'!$B$83:$D$101,3,FALSE)*AQ$51</f>
        <v>235875.23272821313</v>
      </c>
      <c r="AR81" s="27">
        <f ca="1">VLOOKUP($A81,'Assumption Table'!$B$83:$D$101,3,FALSE)*AR$51</f>
        <v>147310.33317149311</v>
      </c>
      <c r="AS81" s="27">
        <f ca="1">VLOOKUP($A81,'Assumption Table'!$B$83:$D$101,3,FALSE)*AS$51</f>
        <v>333128.77535183425</v>
      </c>
      <c r="AT81" s="27">
        <f ca="1">VLOOKUP($A81,'Assumption Table'!$B$83:$D$101,3,FALSE)*AT$51</f>
        <v>342558.07361549931</v>
      </c>
      <c r="AU81" s="27">
        <f ca="1">VLOOKUP($A81,'Assumption Table'!$B$83:$D$101,3,FALSE)*AU$51</f>
        <v>309953.23485580104</v>
      </c>
      <c r="AV81" s="27">
        <f ca="1">VLOOKUP($A81,'Assumption Table'!$B$83:$D$101,3,FALSE)*AV$51</f>
        <v>339790.10487141297</v>
      </c>
      <c r="AW81" s="27">
        <f ca="1">VLOOKUP($A81,'Assumption Table'!$B$83:$D$101,3,FALSE)*AW$51</f>
        <v>375547.88502661878</v>
      </c>
      <c r="AX81" s="27">
        <f ca="1">VLOOKUP($A81,'Assumption Table'!$B$83:$D$101,3,FALSE)*AX$51</f>
        <v>336367.33717310167</v>
      </c>
      <c r="AY81" s="27">
        <f ca="1">VLOOKUP($A81,'Assumption Table'!$B$83:$D$101,3,FALSE)*AY$51</f>
        <v>268264.30123570649</v>
      </c>
      <c r="AZ81" s="27">
        <f ca="1">VLOOKUP($A81,'Assumption Table'!$B$83:$D$101,3,FALSE)*AZ$51</f>
        <v>378377.39314812294</v>
      </c>
      <c r="BA81" s="27">
        <f ca="1">VLOOKUP($A81,'Assumption Table'!$B$83:$D$101,3,FALSE)*BA$51</f>
        <v>243269.91787098988</v>
      </c>
      <c r="BB81" s="27">
        <f ca="1">VLOOKUP($A81,'Assumption Table'!$B$83:$D$101,3,FALSE)*BB$51</f>
        <v>333250.85486581118</v>
      </c>
      <c r="BC81" s="27">
        <f ca="1">VLOOKUP($A81,'Assumption Table'!$B$83:$D$101,3,FALSE)*BC$51</f>
        <v>481644.49712480494</v>
      </c>
      <c r="BD81" s="27">
        <f ca="1">VLOOKUP($A81,'Assumption Table'!$B$83:$D$101,3,FALSE)*BD$51</f>
        <v>481976.83249445911</v>
      </c>
      <c r="BE81" s="27">
        <f ca="1">VLOOKUP($A81,'Assumption Table'!$B$83:$D$101,3,FALSE)*BE$51</f>
        <v>640854.22478912538</v>
      </c>
      <c r="BF81" s="27">
        <f ca="1">VLOOKUP($A81,'Assumption Table'!$B$83:$D$101,3,FALSE)*BF$51</f>
        <v>639657.25128259952</v>
      </c>
      <c r="BG81" s="27">
        <f ca="1">VLOOKUP($A81,'Assumption Table'!$B$83:$D$101,3,FALSE)*BG$51</f>
        <v>577020.17825081467</v>
      </c>
      <c r="BH81" s="27">
        <f ca="1">VLOOKUP($A81,'Assumption Table'!$B$83:$D$101,3,FALSE)*BH$51</f>
        <v>337263.52157564054</v>
      </c>
      <c r="BI81" s="97">
        <f ca="1">VLOOKUP($A81,'Assumption Table'!$B$83:$D$101,3,FALSE)*BI$51</f>
        <v>575161.86848691956</v>
      </c>
      <c r="BJ81" s="10" t="str">
        <f t="shared" si="29"/>
        <v>Servers and Data Centers</v>
      </c>
      <c r="BK81" s="127">
        <f ca="1">SUMIFS($B81:$BI81,$B$4:$BI$4,"&lt;=12")</f>
        <v>401201.05080163543</v>
      </c>
      <c r="BL81" s="127">
        <f ca="1">SUMIFS($B81:$BI81,$B$4:$BI$4,"&lt;=24",$B$4:$BI$4,"&gt;12")</f>
        <v>1295409.0370641835</v>
      </c>
      <c r="BM81" s="127">
        <f ca="1">SUMIFS($B81:$BI81,$B$4:$BI$4,"&lt;=36",$B$4:$BI$4,"&gt;24")</f>
        <v>2274276.9014103641</v>
      </c>
      <c r="BN81" s="127">
        <f ca="1">SUMIFS($B81:$BI81,$B$4:$BI$4,"&lt;=48",$B$4:$BI$4,"&gt;36")</f>
        <v>3281887.7011101982</v>
      </c>
      <c r="BO81" s="127">
        <f ca="1">SUMIFS($B81:$BI81,$B$4:$BI$4,"&lt;=60",$B$4:$BI$4,"&gt;48")</f>
        <v>5293108.1782980962</v>
      </c>
    </row>
    <row r="82" spans="1:67" ht="13.4" customHeight="1">
      <c r="A82" s="98" t="s">
        <v>84</v>
      </c>
      <c r="B82" s="27">
        <f ca="1">VLOOKUP($A82,'Assumption Table'!$B$83:$D$101,3,FALSE)*B$51</f>
        <v>1820.8563109608158</v>
      </c>
      <c r="C82" s="27">
        <f ca="1">VLOOKUP($A82,'Assumption Table'!$B$83:$D$101,3,FALSE)*C$51</f>
        <v>3518.645543110209</v>
      </c>
      <c r="D82" s="27">
        <f ca="1">VLOOKUP($A82,'Assumption Table'!$B$83:$D$101,3,FALSE)*D$51</f>
        <v>6871.3249031233663</v>
      </c>
      <c r="E82" s="27">
        <f ca="1">VLOOKUP($A82,'Assumption Table'!$B$83:$D$101,3,FALSE)*E$51</f>
        <v>4824.3962193564066</v>
      </c>
      <c r="F82" s="27">
        <f ca="1">VLOOKUP($A82,'Assumption Table'!$B$83:$D$101,3,FALSE)*F$51</f>
        <v>6475.1693398876932</v>
      </c>
      <c r="G82" s="27">
        <f ca="1">VLOOKUP($A82,'Assumption Table'!$B$83:$D$101,3,FALSE)*G$51</f>
        <v>11097.911050954797</v>
      </c>
      <c r="H82" s="27">
        <f ca="1">VLOOKUP($A82,'Assumption Table'!$B$83:$D$101,3,FALSE)*H$51</f>
        <v>10688.881485457476</v>
      </c>
      <c r="I82" s="27">
        <f ca="1">VLOOKUP($A82,'Assumption Table'!$B$83:$D$101,3,FALSE)*I$51</f>
        <v>14941.515285152098</v>
      </c>
      <c r="J82" s="27">
        <f ca="1">VLOOKUP($A82,'Assumption Table'!$B$83:$D$101,3,FALSE)*J$51</f>
        <v>18868.32279972508</v>
      </c>
      <c r="K82" s="27">
        <f ca="1">VLOOKUP($A82,'Assumption Table'!$B$83:$D$101,3,FALSE)*K$51</f>
        <v>18716.265766750814</v>
      </c>
      <c r="L82" s="27">
        <f ca="1">VLOOKUP($A82,'Assumption Table'!$B$83:$D$101,3,FALSE)*L$51</f>
        <v>21892.311225231704</v>
      </c>
      <c r="M82" s="27">
        <f ca="1">VLOOKUP($A82,'Assumption Table'!$B$83:$D$101,3,FALSE)*M$51</f>
        <v>14018.083670834696</v>
      </c>
      <c r="N82" s="27">
        <f ca="1">VLOOKUP($A82,'Assumption Table'!$B$83:$D$101,3,FALSE)*N$51</f>
        <v>29544.215671449969</v>
      </c>
      <c r="O82" s="27">
        <f ca="1">VLOOKUP($A82,'Assumption Table'!$B$83:$D$101,3,FALSE)*O$51</f>
        <v>29265.133312614664</v>
      </c>
      <c r="P82" s="27">
        <f ca="1">VLOOKUP($A82,'Assumption Table'!$B$83:$D$101,3,FALSE)*P$51</f>
        <v>36118.446359708345</v>
      </c>
      <c r="Q82" s="27">
        <f ca="1">VLOOKUP($A82,'Assumption Table'!$B$83:$D$101,3,FALSE)*Q$51</f>
        <v>31192.291192094694</v>
      </c>
      <c r="R82" s="27">
        <f ca="1">VLOOKUP($A82,'Assumption Table'!$B$83:$D$101,3,FALSE)*R$51</f>
        <v>35403.053823845083</v>
      </c>
      <c r="S82" s="27">
        <f ca="1">VLOOKUP($A82,'Assumption Table'!$B$83:$D$101,3,FALSE)*S$51</f>
        <v>29195.280365793933</v>
      </c>
      <c r="T82" s="27">
        <f ca="1">VLOOKUP($A82,'Assumption Table'!$B$83:$D$101,3,FALSE)*T$51</f>
        <v>30514.172557190737</v>
      </c>
      <c r="U82" s="27">
        <f ca="1">VLOOKUP($A82,'Assumption Table'!$B$83:$D$101,3,FALSE)*U$51</f>
        <v>28583.357439790034</v>
      </c>
      <c r="V82" s="27">
        <f ca="1">VLOOKUP($A82,'Assumption Table'!$B$83:$D$101,3,FALSE)*V$51</f>
        <v>46346.729427371269</v>
      </c>
      <c r="W82" s="27">
        <f ca="1">VLOOKUP($A82,'Assumption Table'!$B$83:$D$101,3,FALSE)*W$51</f>
        <v>52031.083911534653</v>
      </c>
      <c r="X82" s="27">
        <f ca="1">VLOOKUP($A82,'Assumption Table'!$B$83:$D$101,3,FALSE)*X$51</f>
        <v>48726.131118234385</v>
      </c>
      <c r="Y82" s="27">
        <f ca="1">VLOOKUP($A82,'Assumption Table'!$B$83:$D$101,3,FALSE)*Y$51</f>
        <v>34883.117175100095</v>
      </c>
      <c r="Z82" s="27">
        <f ca="1">VLOOKUP($A82,'Assumption Table'!$B$83:$D$101,3,FALSE)*Z$51</f>
        <v>68930.866662446933</v>
      </c>
      <c r="AA82" s="27">
        <f ca="1">VLOOKUP($A82,'Assumption Table'!$B$83:$D$101,3,FALSE)*AA$51</f>
        <v>53835.465739884014</v>
      </c>
      <c r="AB82" s="27">
        <f ca="1">VLOOKUP($A82,'Assumption Table'!$B$83:$D$101,3,FALSE)*AB$51</f>
        <v>48473.612316927931</v>
      </c>
      <c r="AC82" s="27">
        <f ca="1">VLOOKUP($A82,'Assumption Table'!$B$83:$D$101,3,FALSE)*AC$51</f>
        <v>74490.945688335341</v>
      </c>
      <c r="AD82" s="27">
        <f ca="1">VLOOKUP($A82,'Assumption Table'!$B$83:$D$101,3,FALSE)*AD$51</f>
        <v>46815.147310063097</v>
      </c>
      <c r="AE82" s="27">
        <f ca="1">VLOOKUP($A82,'Assumption Table'!$B$83:$D$101,3,FALSE)*AE$51</f>
        <v>81728.477561474821</v>
      </c>
      <c r="AF82" s="27">
        <f ca="1">VLOOKUP($A82,'Assumption Table'!$B$83:$D$101,3,FALSE)*AF$51</f>
        <v>53135.452396808745</v>
      </c>
      <c r="AG82" s="27">
        <f ca="1">VLOOKUP($A82,'Assumption Table'!$B$83:$D$101,3,FALSE)*AG$51</f>
        <v>35730.143696628365</v>
      </c>
      <c r="AH82" s="27">
        <f ca="1">VLOOKUP($A82,'Assumption Table'!$B$83:$D$101,3,FALSE)*AH$51</f>
        <v>42077.807218796428</v>
      </c>
      <c r="AI82" s="27">
        <f ca="1">VLOOKUP($A82,'Assumption Table'!$B$83:$D$101,3,FALSE)*AI$51</f>
        <v>60253.759793201767</v>
      </c>
      <c r="AJ82" s="27">
        <f ca="1">VLOOKUP($A82,'Assumption Table'!$B$83:$D$101,3,FALSE)*AJ$51</f>
        <v>126790.16012249808</v>
      </c>
      <c r="AK82" s="27">
        <f ca="1">VLOOKUP($A82,'Assumption Table'!$B$83:$D$101,3,FALSE)*AK$51</f>
        <v>65830.461963055932</v>
      </c>
      <c r="AL82" s="27">
        <f ca="1">VLOOKUP($A82,'Assumption Table'!$B$83:$D$101,3,FALSE)*AL$51</f>
        <v>102846.01219654748</v>
      </c>
      <c r="AM82" s="27">
        <f ca="1">VLOOKUP($A82,'Assumption Table'!$B$83:$D$101,3,FALSE)*AM$51</f>
        <v>111847.86508164699</v>
      </c>
      <c r="AN82" s="27">
        <f ca="1">VLOOKUP($A82,'Assumption Table'!$B$83:$D$101,3,FALSE)*AN$51</f>
        <v>88987.751334864151</v>
      </c>
      <c r="AO82" s="27">
        <f ca="1">VLOOKUP($A82,'Assumption Table'!$B$83:$D$101,3,FALSE)*AO$51</f>
        <v>42701.971105757199</v>
      </c>
      <c r="AP82" s="27">
        <f ca="1">VLOOKUP($A82,'Assumption Table'!$B$83:$D$101,3,FALSE)*AP$51</f>
        <v>52857.754110959453</v>
      </c>
      <c r="AQ82" s="27">
        <f ca="1">VLOOKUP($A82,'Assumption Table'!$B$83:$D$101,3,FALSE)*AQ$51</f>
        <v>78625.077576071038</v>
      </c>
      <c r="AR82" s="27">
        <f ca="1">VLOOKUP($A82,'Assumption Table'!$B$83:$D$101,3,FALSE)*AR$51</f>
        <v>49103.444390497702</v>
      </c>
      <c r="AS82" s="27">
        <f ca="1">VLOOKUP($A82,'Assumption Table'!$B$83:$D$101,3,FALSE)*AS$51</f>
        <v>111042.92511727808</v>
      </c>
      <c r="AT82" s="27">
        <f ca="1">VLOOKUP($A82,'Assumption Table'!$B$83:$D$101,3,FALSE)*AT$51</f>
        <v>114186.02453849977</v>
      </c>
      <c r="AU82" s="27">
        <f ca="1">VLOOKUP($A82,'Assumption Table'!$B$83:$D$101,3,FALSE)*AU$51</f>
        <v>103317.74495193368</v>
      </c>
      <c r="AV82" s="27">
        <f ca="1">VLOOKUP($A82,'Assumption Table'!$B$83:$D$101,3,FALSE)*AV$51</f>
        <v>113263.36829047099</v>
      </c>
      <c r="AW82" s="27">
        <f ca="1">VLOOKUP($A82,'Assumption Table'!$B$83:$D$101,3,FALSE)*AW$51</f>
        <v>125182.62834220627</v>
      </c>
      <c r="AX82" s="27">
        <f ca="1">VLOOKUP($A82,'Assumption Table'!$B$83:$D$101,3,FALSE)*AX$51</f>
        <v>112122.44572436722</v>
      </c>
      <c r="AY82" s="27">
        <f ca="1">VLOOKUP($A82,'Assumption Table'!$B$83:$D$101,3,FALSE)*AY$51</f>
        <v>89421.43374523551</v>
      </c>
      <c r="AZ82" s="27">
        <f ca="1">VLOOKUP($A82,'Assumption Table'!$B$83:$D$101,3,FALSE)*AZ$51</f>
        <v>126125.79771604099</v>
      </c>
      <c r="BA82" s="27">
        <f ca="1">VLOOKUP($A82,'Assumption Table'!$B$83:$D$101,3,FALSE)*BA$51</f>
        <v>81089.9726236633</v>
      </c>
      <c r="BB82" s="27">
        <f ca="1">VLOOKUP($A82,'Assumption Table'!$B$83:$D$101,3,FALSE)*BB$51</f>
        <v>111083.61828860373</v>
      </c>
      <c r="BC82" s="27">
        <f ca="1">VLOOKUP($A82,'Assumption Table'!$B$83:$D$101,3,FALSE)*BC$51</f>
        <v>160548.16570826832</v>
      </c>
      <c r="BD82" s="27">
        <f ca="1">VLOOKUP($A82,'Assumption Table'!$B$83:$D$101,3,FALSE)*BD$51</f>
        <v>160658.94416481972</v>
      </c>
      <c r="BE82" s="27">
        <f ca="1">VLOOKUP($A82,'Assumption Table'!$B$83:$D$101,3,FALSE)*BE$51</f>
        <v>213618.07492970847</v>
      </c>
      <c r="BF82" s="27">
        <f ca="1">VLOOKUP($A82,'Assumption Table'!$B$83:$D$101,3,FALSE)*BF$51</f>
        <v>213219.08376086652</v>
      </c>
      <c r="BG82" s="27">
        <f ca="1">VLOOKUP($A82,'Assumption Table'!$B$83:$D$101,3,FALSE)*BG$51</f>
        <v>192340.05941693825</v>
      </c>
      <c r="BH82" s="27">
        <f ca="1">VLOOKUP($A82,'Assumption Table'!$B$83:$D$101,3,FALSE)*BH$51</f>
        <v>112421.17385854686</v>
      </c>
      <c r="BI82" s="97">
        <f ca="1">VLOOKUP($A82,'Assumption Table'!$B$83:$D$101,3,FALSE)*BI$51</f>
        <v>191720.6228289732</v>
      </c>
      <c r="BJ82" s="10" t="str">
        <f t="shared" si="29"/>
        <v>Networking Equipment</v>
      </c>
      <c r="BK82" s="127">
        <f ca="1">SUMIFS($B82:$BI82,$B$4:$BI$4,"&lt;=12")</f>
        <v>133733.68360054516</v>
      </c>
      <c r="BL82" s="127">
        <f ca="1">SUMIFS($B82:$BI82,$B$4:$BI$4,"&lt;=24",$B$4:$BI$4,"&gt;12")</f>
        <v>431803.01235472783</v>
      </c>
      <c r="BM82" s="127">
        <f ca="1">SUMIFS($B82:$BI82,$B$4:$BI$4,"&lt;=36",$B$4:$BI$4,"&gt;24")</f>
        <v>758092.30047012144</v>
      </c>
      <c r="BN82" s="127">
        <f ca="1">SUMIFS($B82:$BI82,$B$4:$BI$4,"&lt;=48",$B$4:$BI$4,"&gt;36")</f>
        <v>1093962.5670367328</v>
      </c>
      <c r="BO82" s="127">
        <f ca="1">SUMIFS($B82:$BI82,$B$4:$BI$4,"&lt;=60",$B$4:$BI$4,"&gt;48")</f>
        <v>1764369.3927660321</v>
      </c>
    </row>
    <row r="83" spans="1:67" ht="13.4" customHeight="1">
      <c r="A83" s="5" t="s">
        <v>85</v>
      </c>
      <c r="B83" s="4"/>
      <c r="C83" s="6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13"/>
      <c r="BJ83" s="8" t="str">
        <f t="shared" si="29"/>
        <v>Software and Licenses</v>
      </c>
      <c r="BK83" s="6"/>
      <c r="BL83" s="6"/>
      <c r="BM83" s="6"/>
      <c r="BN83" s="6"/>
      <c r="BO83" s="6"/>
    </row>
    <row r="84" spans="1:67" ht="13.4" customHeight="1">
      <c r="A84" s="98" t="s">
        <v>86</v>
      </c>
      <c r="B84" s="103">
        <f ca="1">VLOOKUP($A84,'Assumption Table'!$B$83:$D$101,3,FALSE)*B$51</f>
        <v>3641.7126219216316</v>
      </c>
      <c r="C84" s="103">
        <f ca="1">VLOOKUP($A84,'Assumption Table'!$B$83:$D$101,3,FALSE)*C$51</f>
        <v>7037.291086220418</v>
      </c>
      <c r="D84" s="103">
        <f ca="1">VLOOKUP($A84,'Assumption Table'!$B$83:$D$101,3,FALSE)*D$51</f>
        <v>13742.649806246733</v>
      </c>
      <c r="E84" s="103">
        <f ca="1">VLOOKUP($A84,'Assumption Table'!$B$83:$D$101,3,FALSE)*E$51</f>
        <v>9648.7924387128132</v>
      </c>
      <c r="F84" s="103">
        <f ca="1">VLOOKUP($A84,'Assumption Table'!$B$83:$D$101,3,FALSE)*F$51</f>
        <v>12950.338679775386</v>
      </c>
      <c r="G84" s="103">
        <f ca="1">VLOOKUP($A84,'Assumption Table'!$B$83:$D$101,3,FALSE)*G$51</f>
        <v>22195.822101909594</v>
      </c>
      <c r="H84" s="103">
        <f ca="1">VLOOKUP($A84,'Assumption Table'!$B$83:$D$101,3,FALSE)*H$51</f>
        <v>21377.762970914951</v>
      </c>
      <c r="I84" s="103">
        <f ca="1">VLOOKUP($A84,'Assumption Table'!$B$83:$D$101,3,FALSE)*I$51</f>
        <v>29883.030570304196</v>
      </c>
      <c r="J84" s="103">
        <f ca="1">VLOOKUP($A84,'Assumption Table'!$B$83:$D$101,3,FALSE)*J$51</f>
        <v>37736.645599450159</v>
      </c>
      <c r="K84" s="103">
        <f ca="1">VLOOKUP($A84,'Assumption Table'!$B$83:$D$101,3,FALSE)*K$51</f>
        <v>37432.531533501628</v>
      </c>
      <c r="L84" s="103">
        <f ca="1">VLOOKUP($A84,'Assumption Table'!$B$83:$D$101,3,FALSE)*L$51</f>
        <v>43784.622450463408</v>
      </c>
      <c r="M84" s="103">
        <f ca="1">VLOOKUP($A84,'Assumption Table'!$B$83:$D$101,3,FALSE)*M$51</f>
        <v>28036.167341669392</v>
      </c>
      <c r="N84" s="103">
        <f ca="1">VLOOKUP($A84,'Assumption Table'!$B$83:$D$101,3,FALSE)*N$51</f>
        <v>59088.431342899938</v>
      </c>
      <c r="O84" s="103">
        <f ca="1">VLOOKUP($A84,'Assumption Table'!$B$83:$D$101,3,FALSE)*O$51</f>
        <v>58530.266625229327</v>
      </c>
      <c r="P84" s="103">
        <f ca="1">VLOOKUP($A84,'Assumption Table'!$B$83:$D$101,3,FALSE)*P$51</f>
        <v>72236.89271941669</v>
      </c>
      <c r="Q84" s="103">
        <f ca="1">VLOOKUP($A84,'Assumption Table'!$B$83:$D$101,3,FALSE)*Q$51</f>
        <v>62384.582384189387</v>
      </c>
      <c r="R84" s="103">
        <f ca="1">VLOOKUP($A84,'Assumption Table'!$B$83:$D$101,3,FALSE)*R$51</f>
        <v>70806.107647690165</v>
      </c>
      <c r="S84" s="103">
        <f ca="1">VLOOKUP($A84,'Assumption Table'!$B$83:$D$101,3,FALSE)*S$51</f>
        <v>58390.560731587866</v>
      </c>
      <c r="T84" s="103">
        <f ca="1">VLOOKUP($A84,'Assumption Table'!$B$83:$D$101,3,FALSE)*T$51</f>
        <v>61028.345114381475</v>
      </c>
      <c r="U84" s="103">
        <f ca="1">VLOOKUP($A84,'Assumption Table'!$B$83:$D$101,3,FALSE)*U$51</f>
        <v>57166.714879580068</v>
      </c>
      <c r="V84" s="103">
        <f ca="1">VLOOKUP($A84,'Assumption Table'!$B$83:$D$101,3,FALSE)*V$51</f>
        <v>92693.458854742537</v>
      </c>
      <c r="W84" s="103">
        <f ca="1">VLOOKUP($A84,'Assumption Table'!$B$83:$D$101,3,FALSE)*W$51</f>
        <v>104062.16782306931</v>
      </c>
      <c r="X84" s="103">
        <f ca="1">VLOOKUP($A84,'Assumption Table'!$B$83:$D$101,3,FALSE)*X$51</f>
        <v>97452.26223646877</v>
      </c>
      <c r="Y84" s="103">
        <f ca="1">VLOOKUP($A84,'Assumption Table'!$B$83:$D$101,3,FALSE)*Y$51</f>
        <v>69766.23435020019</v>
      </c>
      <c r="Z84" s="103">
        <f ca="1">VLOOKUP($A84,'Assumption Table'!$B$83:$D$101,3,FALSE)*Z$51</f>
        <v>137861.73332489387</v>
      </c>
      <c r="AA84" s="103">
        <f ca="1">VLOOKUP($A84,'Assumption Table'!$B$83:$D$101,3,FALSE)*AA$51</f>
        <v>107670.93147976803</v>
      </c>
      <c r="AB84" s="103">
        <f ca="1">VLOOKUP($A84,'Assumption Table'!$B$83:$D$101,3,FALSE)*AB$51</f>
        <v>96947.224633855862</v>
      </c>
      <c r="AC84" s="103">
        <f ca="1">VLOOKUP($A84,'Assumption Table'!$B$83:$D$101,3,FALSE)*AC$51</f>
        <v>148981.89137667068</v>
      </c>
      <c r="AD84" s="103">
        <f ca="1">VLOOKUP($A84,'Assumption Table'!$B$83:$D$101,3,FALSE)*AD$51</f>
        <v>93630.294620126195</v>
      </c>
      <c r="AE84" s="103">
        <f ca="1">VLOOKUP($A84,'Assumption Table'!$B$83:$D$101,3,FALSE)*AE$51</f>
        <v>163456.95512294964</v>
      </c>
      <c r="AF84" s="103">
        <f ca="1">VLOOKUP($A84,'Assumption Table'!$B$83:$D$101,3,FALSE)*AF$51</f>
        <v>106270.90479361749</v>
      </c>
      <c r="AG84" s="103">
        <f ca="1">VLOOKUP($A84,'Assumption Table'!$B$83:$D$101,3,FALSE)*AG$51</f>
        <v>71460.287393256731</v>
      </c>
      <c r="AH84" s="103">
        <f ca="1">VLOOKUP($A84,'Assumption Table'!$B$83:$D$101,3,FALSE)*AH$51</f>
        <v>84155.614437592856</v>
      </c>
      <c r="AI84" s="103">
        <f ca="1">VLOOKUP($A84,'Assumption Table'!$B$83:$D$101,3,FALSE)*AI$51</f>
        <v>120507.51958640353</v>
      </c>
      <c r="AJ84" s="103">
        <f ca="1">VLOOKUP($A84,'Assumption Table'!$B$83:$D$101,3,FALSE)*AJ$51</f>
        <v>253580.32024499617</v>
      </c>
      <c r="AK84" s="103">
        <f ca="1">VLOOKUP($A84,'Assumption Table'!$B$83:$D$101,3,FALSE)*AK$51</f>
        <v>131660.92392611186</v>
      </c>
      <c r="AL84" s="103">
        <f ca="1">VLOOKUP($A84,'Assumption Table'!$B$83:$D$101,3,FALSE)*AL$51</f>
        <v>205692.02439309497</v>
      </c>
      <c r="AM84" s="103">
        <f ca="1">VLOOKUP($A84,'Assumption Table'!$B$83:$D$101,3,FALSE)*AM$51</f>
        <v>223695.73016329398</v>
      </c>
      <c r="AN84" s="103">
        <f ca="1">VLOOKUP($A84,'Assumption Table'!$B$83:$D$101,3,FALSE)*AN$51</f>
        <v>177975.5026697283</v>
      </c>
      <c r="AO84" s="103">
        <f ca="1">VLOOKUP($A84,'Assumption Table'!$B$83:$D$101,3,FALSE)*AO$51</f>
        <v>85403.942211514397</v>
      </c>
      <c r="AP84" s="103">
        <f ca="1">VLOOKUP($A84,'Assumption Table'!$B$83:$D$101,3,FALSE)*AP$51</f>
        <v>105715.50822191891</v>
      </c>
      <c r="AQ84" s="103">
        <f ca="1">VLOOKUP($A84,'Assumption Table'!$B$83:$D$101,3,FALSE)*AQ$51</f>
        <v>157250.15515214208</v>
      </c>
      <c r="AR84" s="103">
        <f ca="1">VLOOKUP($A84,'Assumption Table'!$B$83:$D$101,3,FALSE)*AR$51</f>
        <v>98206.888780995403</v>
      </c>
      <c r="AS84" s="103">
        <f ca="1">VLOOKUP($A84,'Assumption Table'!$B$83:$D$101,3,FALSE)*AS$51</f>
        <v>222085.85023455616</v>
      </c>
      <c r="AT84" s="103">
        <f ca="1">VLOOKUP($A84,'Assumption Table'!$B$83:$D$101,3,FALSE)*AT$51</f>
        <v>228372.04907699954</v>
      </c>
      <c r="AU84" s="103">
        <f ca="1">VLOOKUP($A84,'Assumption Table'!$B$83:$D$101,3,FALSE)*AU$51</f>
        <v>206635.48990386736</v>
      </c>
      <c r="AV84" s="103">
        <f ca="1">VLOOKUP($A84,'Assumption Table'!$B$83:$D$101,3,FALSE)*AV$51</f>
        <v>226526.73658094197</v>
      </c>
      <c r="AW84" s="103">
        <f ca="1">VLOOKUP($A84,'Assumption Table'!$B$83:$D$101,3,FALSE)*AW$51</f>
        <v>250365.25668441254</v>
      </c>
      <c r="AX84" s="103">
        <f ca="1">VLOOKUP($A84,'Assumption Table'!$B$83:$D$101,3,FALSE)*AX$51</f>
        <v>224244.89144873444</v>
      </c>
      <c r="AY84" s="103">
        <f ca="1">VLOOKUP($A84,'Assumption Table'!$B$83:$D$101,3,FALSE)*AY$51</f>
        <v>178842.86749047102</v>
      </c>
      <c r="AZ84" s="103">
        <f ca="1">VLOOKUP($A84,'Assumption Table'!$B$83:$D$101,3,FALSE)*AZ$51</f>
        <v>252251.59543208199</v>
      </c>
      <c r="BA84" s="103">
        <f ca="1">VLOOKUP($A84,'Assumption Table'!$B$83:$D$101,3,FALSE)*BA$51</f>
        <v>162179.9452473266</v>
      </c>
      <c r="BB84" s="103">
        <f ca="1">VLOOKUP($A84,'Assumption Table'!$B$83:$D$101,3,FALSE)*BB$51</f>
        <v>222167.23657720746</v>
      </c>
      <c r="BC84" s="103">
        <f ca="1">VLOOKUP($A84,'Assumption Table'!$B$83:$D$101,3,FALSE)*BC$51</f>
        <v>321096.33141653665</v>
      </c>
      <c r="BD84" s="103">
        <f ca="1">VLOOKUP($A84,'Assumption Table'!$B$83:$D$101,3,FALSE)*BD$51</f>
        <v>321317.88832963945</v>
      </c>
      <c r="BE84" s="103">
        <f ca="1">VLOOKUP($A84,'Assumption Table'!$B$83:$D$101,3,FALSE)*BE$51</f>
        <v>427236.14985941694</v>
      </c>
      <c r="BF84" s="103">
        <f ca="1">VLOOKUP($A84,'Assumption Table'!$B$83:$D$101,3,FALSE)*BF$51</f>
        <v>426438.16752173303</v>
      </c>
      <c r="BG84" s="103">
        <f ca="1">VLOOKUP($A84,'Assumption Table'!$B$83:$D$101,3,FALSE)*BG$51</f>
        <v>384680.11883387651</v>
      </c>
      <c r="BH84" s="103">
        <f ca="1">VLOOKUP($A84,'Assumption Table'!$B$83:$D$101,3,FALSE)*BH$51</f>
        <v>224842.34771709371</v>
      </c>
      <c r="BI84" s="104">
        <f ca="1">VLOOKUP($A84,'Assumption Table'!$B$83:$D$101,3,FALSE)*BI$51</f>
        <v>383441.24565794639</v>
      </c>
      <c r="BJ84" s="10" t="str">
        <f t="shared" si="29"/>
        <v>Enterprise Software</v>
      </c>
      <c r="BK84" s="127">
        <f ca="1">SUMIFS($B84:$BI84,$B$4:$BI$4,"&lt;=12")</f>
        <v>267467.36720109032</v>
      </c>
      <c r="BL84" s="127">
        <f ca="1">SUMIFS($B84:$BI84,$B$4:$BI$4,"&lt;=24",$B$4:$BI$4,"&gt;12")</f>
        <v>863606.02470945567</v>
      </c>
      <c r="BM84" s="127">
        <f ca="1">SUMIFS($B84:$BI84,$B$4:$BI$4,"&lt;=36",$B$4:$BI$4,"&gt;24")</f>
        <v>1516184.6009402429</v>
      </c>
      <c r="BN84" s="127">
        <f ca="1">SUMIFS($B84:$BI84,$B$4:$BI$4,"&lt;=48",$B$4:$BI$4,"&gt;36")</f>
        <v>2187925.1340734656</v>
      </c>
      <c r="BO84" s="127">
        <f ca="1">SUMIFS($B84:$BI84,$B$4:$BI$4,"&lt;=60",$B$4:$BI$4,"&gt;48")</f>
        <v>3528738.7855320643</v>
      </c>
    </row>
    <row r="85" spans="1:67" ht="13.4" customHeight="1">
      <c r="A85" s="98" t="s">
        <v>87</v>
      </c>
      <c r="B85" s="103">
        <f ca="1">VLOOKUP($A85,'Assumption Table'!$B$83:$D$101,3,FALSE)*B$51</f>
        <v>1820.8563109608158</v>
      </c>
      <c r="C85" s="103">
        <f ca="1">VLOOKUP($A85,'Assumption Table'!$B$83:$D$101,3,FALSE)*C$51</f>
        <v>3518.645543110209</v>
      </c>
      <c r="D85" s="103">
        <f ca="1">VLOOKUP($A85,'Assumption Table'!$B$83:$D$101,3,FALSE)*D$51</f>
        <v>6871.3249031233663</v>
      </c>
      <c r="E85" s="103">
        <f ca="1">VLOOKUP($A85,'Assumption Table'!$B$83:$D$101,3,FALSE)*E$51</f>
        <v>4824.3962193564066</v>
      </c>
      <c r="F85" s="103">
        <f ca="1">VLOOKUP($A85,'Assumption Table'!$B$83:$D$101,3,FALSE)*F$51</f>
        <v>6475.1693398876932</v>
      </c>
      <c r="G85" s="103">
        <f ca="1">VLOOKUP($A85,'Assumption Table'!$B$83:$D$101,3,FALSE)*G$51</f>
        <v>11097.911050954797</v>
      </c>
      <c r="H85" s="103">
        <f ca="1">VLOOKUP($A85,'Assumption Table'!$B$83:$D$101,3,FALSE)*H$51</f>
        <v>10688.881485457476</v>
      </c>
      <c r="I85" s="103">
        <f ca="1">VLOOKUP($A85,'Assumption Table'!$B$83:$D$101,3,FALSE)*I$51</f>
        <v>14941.515285152098</v>
      </c>
      <c r="J85" s="103">
        <f ca="1">VLOOKUP($A85,'Assumption Table'!$B$83:$D$101,3,FALSE)*J$51</f>
        <v>18868.32279972508</v>
      </c>
      <c r="K85" s="103">
        <f ca="1">VLOOKUP($A85,'Assumption Table'!$B$83:$D$101,3,FALSE)*K$51</f>
        <v>18716.265766750814</v>
      </c>
      <c r="L85" s="103">
        <f ca="1">VLOOKUP($A85,'Assumption Table'!$B$83:$D$101,3,FALSE)*L$51</f>
        <v>21892.311225231704</v>
      </c>
      <c r="M85" s="103">
        <f ca="1">VLOOKUP($A85,'Assumption Table'!$B$83:$D$101,3,FALSE)*M$51</f>
        <v>14018.083670834696</v>
      </c>
      <c r="N85" s="103">
        <f ca="1">VLOOKUP($A85,'Assumption Table'!$B$83:$D$101,3,FALSE)*N$51</f>
        <v>29544.215671449969</v>
      </c>
      <c r="O85" s="103">
        <f ca="1">VLOOKUP($A85,'Assumption Table'!$B$83:$D$101,3,FALSE)*O$51</f>
        <v>29265.133312614664</v>
      </c>
      <c r="P85" s="103">
        <f ca="1">VLOOKUP($A85,'Assumption Table'!$B$83:$D$101,3,FALSE)*P$51</f>
        <v>36118.446359708345</v>
      </c>
      <c r="Q85" s="103">
        <f ca="1">VLOOKUP($A85,'Assumption Table'!$B$83:$D$101,3,FALSE)*Q$51</f>
        <v>31192.291192094694</v>
      </c>
      <c r="R85" s="103">
        <f ca="1">VLOOKUP($A85,'Assumption Table'!$B$83:$D$101,3,FALSE)*R$51</f>
        <v>35403.053823845083</v>
      </c>
      <c r="S85" s="103">
        <f ca="1">VLOOKUP($A85,'Assumption Table'!$B$83:$D$101,3,FALSE)*S$51</f>
        <v>29195.280365793933</v>
      </c>
      <c r="T85" s="103">
        <f ca="1">VLOOKUP($A85,'Assumption Table'!$B$83:$D$101,3,FALSE)*T$51</f>
        <v>30514.172557190737</v>
      </c>
      <c r="U85" s="103">
        <f ca="1">VLOOKUP($A85,'Assumption Table'!$B$83:$D$101,3,FALSE)*U$51</f>
        <v>28583.357439790034</v>
      </c>
      <c r="V85" s="103">
        <f ca="1">VLOOKUP($A85,'Assumption Table'!$B$83:$D$101,3,FALSE)*V$51</f>
        <v>46346.729427371269</v>
      </c>
      <c r="W85" s="103">
        <f ca="1">VLOOKUP($A85,'Assumption Table'!$B$83:$D$101,3,FALSE)*W$51</f>
        <v>52031.083911534653</v>
      </c>
      <c r="X85" s="103">
        <f ca="1">VLOOKUP($A85,'Assumption Table'!$B$83:$D$101,3,FALSE)*X$51</f>
        <v>48726.131118234385</v>
      </c>
      <c r="Y85" s="103">
        <f ca="1">VLOOKUP($A85,'Assumption Table'!$B$83:$D$101,3,FALSE)*Y$51</f>
        <v>34883.117175100095</v>
      </c>
      <c r="Z85" s="103">
        <f ca="1">VLOOKUP($A85,'Assumption Table'!$B$83:$D$101,3,FALSE)*Z$51</f>
        <v>68930.866662446933</v>
      </c>
      <c r="AA85" s="103">
        <f ca="1">VLOOKUP($A85,'Assumption Table'!$B$83:$D$101,3,FALSE)*AA$51</f>
        <v>53835.465739884014</v>
      </c>
      <c r="AB85" s="103">
        <f ca="1">VLOOKUP($A85,'Assumption Table'!$B$83:$D$101,3,FALSE)*AB$51</f>
        <v>48473.612316927931</v>
      </c>
      <c r="AC85" s="103">
        <f ca="1">VLOOKUP($A85,'Assumption Table'!$B$83:$D$101,3,FALSE)*AC$51</f>
        <v>74490.945688335341</v>
      </c>
      <c r="AD85" s="103">
        <f ca="1">VLOOKUP($A85,'Assumption Table'!$B$83:$D$101,3,FALSE)*AD$51</f>
        <v>46815.147310063097</v>
      </c>
      <c r="AE85" s="103">
        <f ca="1">VLOOKUP($A85,'Assumption Table'!$B$83:$D$101,3,FALSE)*AE$51</f>
        <v>81728.477561474821</v>
      </c>
      <c r="AF85" s="103">
        <f ca="1">VLOOKUP($A85,'Assumption Table'!$B$83:$D$101,3,FALSE)*AF$51</f>
        <v>53135.452396808745</v>
      </c>
      <c r="AG85" s="103">
        <f ca="1">VLOOKUP($A85,'Assumption Table'!$B$83:$D$101,3,FALSE)*AG$51</f>
        <v>35730.143696628365</v>
      </c>
      <c r="AH85" s="103">
        <f ca="1">VLOOKUP($A85,'Assumption Table'!$B$83:$D$101,3,FALSE)*AH$51</f>
        <v>42077.807218796428</v>
      </c>
      <c r="AI85" s="103">
        <f ca="1">VLOOKUP($A85,'Assumption Table'!$B$83:$D$101,3,FALSE)*AI$51</f>
        <v>60253.759793201767</v>
      </c>
      <c r="AJ85" s="103">
        <f ca="1">VLOOKUP($A85,'Assumption Table'!$B$83:$D$101,3,FALSE)*AJ$51</f>
        <v>126790.16012249808</v>
      </c>
      <c r="AK85" s="103">
        <f ca="1">VLOOKUP($A85,'Assumption Table'!$B$83:$D$101,3,FALSE)*AK$51</f>
        <v>65830.461963055932</v>
      </c>
      <c r="AL85" s="103">
        <f ca="1">VLOOKUP($A85,'Assumption Table'!$B$83:$D$101,3,FALSE)*AL$51</f>
        <v>102846.01219654748</v>
      </c>
      <c r="AM85" s="103">
        <f ca="1">VLOOKUP($A85,'Assumption Table'!$B$83:$D$101,3,FALSE)*AM$51</f>
        <v>111847.86508164699</v>
      </c>
      <c r="AN85" s="103">
        <f ca="1">VLOOKUP($A85,'Assumption Table'!$B$83:$D$101,3,FALSE)*AN$51</f>
        <v>88987.751334864151</v>
      </c>
      <c r="AO85" s="103">
        <f ca="1">VLOOKUP($A85,'Assumption Table'!$B$83:$D$101,3,FALSE)*AO$51</f>
        <v>42701.971105757199</v>
      </c>
      <c r="AP85" s="103">
        <f ca="1">VLOOKUP($A85,'Assumption Table'!$B$83:$D$101,3,FALSE)*AP$51</f>
        <v>52857.754110959453</v>
      </c>
      <c r="AQ85" s="103">
        <f ca="1">VLOOKUP($A85,'Assumption Table'!$B$83:$D$101,3,FALSE)*AQ$51</f>
        <v>78625.077576071038</v>
      </c>
      <c r="AR85" s="103">
        <f ca="1">VLOOKUP($A85,'Assumption Table'!$B$83:$D$101,3,FALSE)*AR$51</f>
        <v>49103.444390497702</v>
      </c>
      <c r="AS85" s="103">
        <f ca="1">VLOOKUP($A85,'Assumption Table'!$B$83:$D$101,3,FALSE)*AS$51</f>
        <v>111042.92511727808</v>
      </c>
      <c r="AT85" s="103">
        <f ca="1">VLOOKUP($A85,'Assumption Table'!$B$83:$D$101,3,FALSE)*AT$51</f>
        <v>114186.02453849977</v>
      </c>
      <c r="AU85" s="103">
        <f ca="1">VLOOKUP($A85,'Assumption Table'!$B$83:$D$101,3,FALSE)*AU$51</f>
        <v>103317.74495193368</v>
      </c>
      <c r="AV85" s="103">
        <f ca="1">VLOOKUP($A85,'Assumption Table'!$B$83:$D$101,3,FALSE)*AV$51</f>
        <v>113263.36829047099</v>
      </c>
      <c r="AW85" s="103">
        <f ca="1">VLOOKUP($A85,'Assumption Table'!$B$83:$D$101,3,FALSE)*AW$51</f>
        <v>125182.62834220627</v>
      </c>
      <c r="AX85" s="103">
        <f ca="1">VLOOKUP($A85,'Assumption Table'!$B$83:$D$101,3,FALSE)*AX$51</f>
        <v>112122.44572436722</v>
      </c>
      <c r="AY85" s="103">
        <f ca="1">VLOOKUP($A85,'Assumption Table'!$B$83:$D$101,3,FALSE)*AY$51</f>
        <v>89421.43374523551</v>
      </c>
      <c r="AZ85" s="103">
        <f ca="1">VLOOKUP($A85,'Assumption Table'!$B$83:$D$101,3,FALSE)*AZ$51</f>
        <v>126125.79771604099</v>
      </c>
      <c r="BA85" s="103">
        <f ca="1">VLOOKUP($A85,'Assumption Table'!$B$83:$D$101,3,FALSE)*BA$51</f>
        <v>81089.9726236633</v>
      </c>
      <c r="BB85" s="103">
        <f ca="1">VLOOKUP($A85,'Assumption Table'!$B$83:$D$101,3,FALSE)*BB$51</f>
        <v>111083.61828860373</v>
      </c>
      <c r="BC85" s="103">
        <f ca="1">VLOOKUP($A85,'Assumption Table'!$B$83:$D$101,3,FALSE)*BC$51</f>
        <v>160548.16570826832</v>
      </c>
      <c r="BD85" s="103">
        <f ca="1">VLOOKUP($A85,'Assumption Table'!$B$83:$D$101,3,FALSE)*BD$51</f>
        <v>160658.94416481972</v>
      </c>
      <c r="BE85" s="103">
        <f ca="1">VLOOKUP($A85,'Assumption Table'!$B$83:$D$101,3,FALSE)*BE$51</f>
        <v>213618.07492970847</v>
      </c>
      <c r="BF85" s="103">
        <f ca="1">VLOOKUP($A85,'Assumption Table'!$B$83:$D$101,3,FALSE)*BF$51</f>
        <v>213219.08376086652</v>
      </c>
      <c r="BG85" s="103">
        <f ca="1">VLOOKUP($A85,'Assumption Table'!$B$83:$D$101,3,FALSE)*BG$51</f>
        <v>192340.05941693825</v>
      </c>
      <c r="BH85" s="103">
        <f ca="1">VLOOKUP($A85,'Assumption Table'!$B$83:$D$101,3,FALSE)*BH$51</f>
        <v>112421.17385854686</v>
      </c>
      <c r="BI85" s="104">
        <f ca="1">VLOOKUP($A85,'Assumption Table'!$B$83:$D$101,3,FALSE)*BI$51</f>
        <v>191720.6228289732</v>
      </c>
      <c r="BJ85" s="10" t="str">
        <f t="shared" si="29"/>
        <v>Software Licenses</v>
      </c>
      <c r="BK85" s="127">
        <f ca="1">SUMIFS($B85:$BI85,$B$4:$BI$4,"&lt;=12")</f>
        <v>133733.68360054516</v>
      </c>
      <c r="BL85" s="127">
        <f ca="1">SUMIFS($B85:$BI85,$B$4:$BI$4,"&lt;=24",$B$4:$BI$4,"&gt;12")</f>
        <v>431803.01235472783</v>
      </c>
      <c r="BM85" s="127">
        <f ca="1">SUMIFS($B85:$BI85,$B$4:$BI$4,"&lt;=36",$B$4:$BI$4,"&gt;24")</f>
        <v>758092.30047012144</v>
      </c>
      <c r="BN85" s="127">
        <f ca="1">SUMIFS($B85:$BI85,$B$4:$BI$4,"&lt;=48",$B$4:$BI$4,"&gt;36")</f>
        <v>1093962.5670367328</v>
      </c>
      <c r="BO85" s="127">
        <f ca="1">SUMIFS($B85:$BI85,$B$4:$BI$4,"&lt;=60",$B$4:$BI$4,"&gt;48")</f>
        <v>1764369.3927660321</v>
      </c>
    </row>
    <row r="86" spans="1:67" ht="13.4" customHeight="1">
      <c r="A86" s="5" t="s">
        <v>88</v>
      </c>
      <c r="B86" s="4"/>
      <c r="C86" s="6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13"/>
      <c r="BJ86" s="8" t="str">
        <f t="shared" si="29"/>
        <v>Hardware</v>
      </c>
      <c r="BK86" s="6"/>
      <c r="BL86" s="6"/>
      <c r="BM86" s="6"/>
      <c r="BN86" s="6"/>
      <c r="BO86" s="6"/>
    </row>
    <row r="87" spans="1:67" ht="13.4" customHeight="1">
      <c r="A87" s="98" t="s">
        <v>89</v>
      </c>
      <c r="B87" s="103">
        <f ca="1">VLOOKUP($A87,'Assumption Table'!$B$83:$D$101,3,FALSE)*B$51</f>
        <v>1820.8563109608158</v>
      </c>
      <c r="C87" s="103">
        <f ca="1">VLOOKUP($A87,'Assumption Table'!$B$83:$D$101,3,FALSE)*C$51</f>
        <v>3518.645543110209</v>
      </c>
      <c r="D87" s="103">
        <f ca="1">VLOOKUP($A87,'Assumption Table'!$B$83:$D$101,3,FALSE)*D$51</f>
        <v>6871.3249031233663</v>
      </c>
      <c r="E87" s="103">
        <f ca="1">VLOOKUP($A87,'Assumption Table'!$B$83:$D$101,3,FALSE)*E$51</f>
        <v>4824.3962193564066</v>
      </c>
      <c r="F87" s="103">
        <f ca="1">VLOOKUP($A87,'Assumption Table'!$B$83:$D$101,3,FALSE)*F$51</f>
        <v>6475.1693398876932</v>
      </c>
      <c r="G87" s="103">
        <f ca="1">VLOOKUP($A87,'Assumption Table'!$B$83:$D$101,3,FALSE)*G$51</f>
        <v>11097.911050954797</v>
      </c>
      <c r="H87" s="103">
        <f ca="1">VLOOKUP($A87,'Assumption Table'!$B$83:$D$101,3,FALSE)*H$51</f>
        <v>10688.881485457476</v>
      </c>
      <c r="I87" s="103">
        <f ca="1">VLOOKUP($A87,'Assumption Table'!$B$83:$D$101,3,FALSE)*I$51</f>
        <v>14941.515285152098</v>
      </c>
      <c r="J87" s="103">
        <f ca="1">VLOOKUP($A87,'Assumption Table'!$B$83:$D$101,3,FALSE)*J$51</f>
        <v>18868.32279972508</v>
      </c>
      <c r="K87" s="103">
        <f ca="1">VLOOKUP($A87,'Assumption Table'!$B$83:$D$101,3,FALSE)*K$51</f>
        <v>18716.265766750814</v>
      </c>
      <c r="L87" s="103">
        <f ca="1">VLOOKUP($A87,'Assumption Table'!$B$83:$D$101,3,FALSE)*L$51</f>
        <v>21892.311225231704</v>
      </c>
      <c r="M87" s="103">
        <f ca="1">VLOOKUP($A87,'Assumption Table'!$B$83:$D$101,3,FALSE)*M$51</f>
        <v>14018.083670834696</v>
      </c>
      <c r="N87" s="103">
        <f ca="1">VLOOKUP($A87,'Assumption Table'!$B$83:$D$101,3,FALSE)*N$51</f>
        <v>29544.215671449969</v>
      </c>
      <c r="O87" s="103">
        <f ca="1">VLOOKUP($A87,'Assumption Table'!$B$83:$D$101,3,FALSE)*O$51</f>
        <v>29265.133312614664</v>
      </c>
      <c r="P87" s="103">
        <f ca="1">VLOOKUP($A87,'Assumption Table'!$B$83:$D$101,3,FALSE)*P$51</f>
        <v>36118.446359708345</v>
      </c>
      <c r="Q87" s="103">
        <f ca="1">VLOOKUP($A87,'Assumption Table'!$B$83:$D$101,3,FALSE)*Q$51</f>
        <v>31192.291192094694</v>
      </c>
      <c r="R87" s="103">
        <f ca="1">VLOOKUP($A87,'Assumption Table'!$B$83:$D$101,3,FALSE)*R$51</f>
        <v>35403.053823845083</v>
      </c>
      <c r="S87" s="103">
        <f ca="1">VLOOKUP($A87,'Assumption Table'!$B$83:$D$101,3,FALSE)*S$51</f>
        <v>29195.280365793933</v>
      </c>
      <c r="T87" s="103">
        <f ca="1">VLOOKUP($A87,'Assumption Table'!$B$83:$D$101,3,FALSE)*T$51</f>
        <v>30514.172557190737</v>
      </c>
      <c r="U87" s="103">
        <f ca="1">VLOOKUP($A87,'Assumption Table'!$B$83:$D$101,3,FALSE)*U$51</f>
        <v>28583.357439790034</v>
      </c>
      <c r="V87" s="103">
        <f ca="1">VLOOKUP($A87,'Assumption Table'!$B$83:$D$101,3,FALSE)*V$51</f>
        <v>46346.729427371269</v>
      </c>
      <c r="W87" s="103">
        <f ca="1">VLOOKUP($A87,'Assumption Table'!$B$83:$D$101,3,FALSE)*W$51</f>
        <v>52031.083911534653</v>
      </c>
      <c r="X87" s="103">
        <f ca="1">VLOOKUP($A87,'Assumption Table'!$B$83:$D$101,3,FALSE)*X$51</f>
        <v>48726.131118234385</v>
      </c>
      <c r="Y87" s="103">
        <f ca="1">VLOOKUP($A87,'Assumption Table'!$B$83:$D$101,3,FALSE)*Y$51</f>
        <v>34883.117175100095</v>
      </c>
      <c r="Z87" s="103">
        <f ca="1">VLOOKUP($A87,'Assumption Table'!$B$83:$D$101,3,FALSE)*Z$51</f>
        <v>68930.866662446933</v>
      </c>
      <c r="AA87" s="103">
        <f ca="1">VLOOKUP($A87,'Assumption Table'!$B$83:$D$101,3,FALSE)*AA$51</f>
        <v>53835.465739884014</v>
      </c>
      <c r="AB87" s="103">
        <f ca="1">VLOOKUP($A87,'Assumption Table'!$B$83:$D$101,3,FALSE)*AB$51</f>
        <v>48473.612316927931</v>
      </c>
      <c r="AC87" s="103">
        <f ca="1">VLOOKUP($A87,'Assumption Table'!$B$83:$D$101,3,FALSE)*AC$51</f>
        <v>74490.945688335341</v>
      </c>
      <c r="AD87" s="103">
        <f ca="1">VLOOKUP($A87,'Assumption Table'!$B$83:$D$101,3,FALSE)*AD$51</f>
        <v>46815.147310063097</v>
      </c>
      <c r="AE87" s="103">
        <f ca="1">VLOOKUP($A87,'Assumption Table'!$B$83:$D$101,3,FALSE)*AE$51</f>
        <v>81728.477561474821</v>
      </c>
      <c r="AF87" s="103">
        <f ca="1">VLOOKUP($A87,'Assumption Table'!$B$83:$D$101,3,FALSE)*AF$51</f>
        <v>53135.452396808745</v>
      </c>
      <c r="AG87" s="103">
        <f ca="1">VLOOKUP($A87,'Assumption Table'!$B$83:$D$101,3,FALSE)*AG$51</f>
        <v>35730.143696628365</v>
      </c>
      <c r="AH87" s="103">
        <f ca="1">VLOOKUP($A87,'Assumption Table'!$B$83:$D$101,3,FALSE)*AH$51</f>
        <v>42077.807218796428</v>
      </c>
      <c r="AI87" s="103">
        <f ca="1">VLOOKUP($A87,'Assumption Table'!$B$83:$D$101,3,FALSE)*AI$51</f>
        <v>60253.759793201767</v>
      </c>
      <c r="AJ87" s="103">
        <f ca="1">VLOOKUP($A87,'Assumption Table'!$B$83:$D$101,3,FALSE)*AJ$51</f>
        <v>126790.16012249808</v>
      </c>
      <c r="AK87" s="103">
        <f ca="1">VLOOKUP($A87,'Assumption Table'!$B$83:$D$101,3,FALSE)*AK$51</f>
        <v>65830.461963055932</v>
      </c>
      <c r="AL87" s="103">
        <f ca="1">VLOOKUP($A87,'Assumption Table'!$B$83:$D$101,3,FALSE)*AL$51</f>
        <v>102846.01219654748</v>
      </c>
      <c r="AM87" s="103">
        <f ca="1">VLOOKUP($A87,'Assumption Table'!$B$83:$D$101,3,FALSE)*AM$51</f>
        <v>111847.86508164699</v>
      </c>
      <c r="AN87" s="103">
        <f ca="1">VLOOKUP($A87,'Assumption Table'!$B$83:$D$101,3,FALSE)*AN$51</f>
        <v>88987.751334864151</v>
      </c>
      <c r="AO87" s="103">
        <f ca="1">VLOOKUP($A87,'Assumption Table'!$B$83:$D$101,3,FALSE)*AO$51</f>
        <v>42701.971105757199</v>
      </c>
      <c r="AP87" s="103">
        <f ca="1">VLOOKUP($A87,'Assumption Table'!$B$83:$D$101,3,FALSE)*AP$51</f>
        <v>52857.754110959453</v>
      </c>
      <c r="AQ87" s="103">
        <f ca="1">VLOOKUP($A87,'Assumption Table'!$B$83:$D$101,3,FALSE)*AQ$51</f>
        <v>78625.077576071038</v>
      </c>
      <c r="AR87" s="103">
        <f ca="1">VLOOKUP($A87,'Assumption Table'!$B$83:$D$101,3,FALSE)*AR$51</f>
        <v>49103.444390497702</v>
      </c>
      <c r="AS87" s="103">
        <f ca="1">VLOOKUP($A87,'Assumption Table'!$B$83:$D$101,3,FALSE)*AS$51</f>
        <v>111042.92511727808</v>
      </c>
      <c r="AT87" s="103">
        <f ca="1">VLOOKUP($A87,'Assumption Table'!$B$83:$D$101,3,FALSE)*AT$51</f>
        <v>114186.02453849977</v>
      </c>
      <c r="AU87" s="103">
        <f ca="1">VLOOKUP($A87,'Assumption Table'!$B$83:$D$101,3,FALSE)*AU$51</f>
        <v>103317.74495193368</v>
      </c>
      <c r="AV87" s="103">
        <f ca="1">VLOOKUP($A87,'Assumption Table'!$B$83:$D$101,3,FALSE)*AV$51</f>
        <v>113263.36829047099</v>
      </c>
      <c r="AW87" s="103">
        <f ca="1">VLOOKUP($A87,'Assumption Table'!$B$83:$D$101,3,FALSE)*AW$51</f>
        <v>125182.62834220627</v>
      </c>
      <c r="AX87" s="103">
        <f ca="1">VLOOKUP($A87,'Assumption Table'!$B$83:$D$101,3,FALSE)*AX$51</f>
        <v>112122.44572436722</v>
      </c>
      <c r="AY87" s="103">
        <f ca="1">VLOOKUP($A87,'Assumption Table'!$B$83:$D$101,3,FALSE)*AY$51</f>
        <v>89421.43374523551</v>
      </c>
      <c r="AZ87" s="103">
        <f ca="1">VLOOKUP($A87,'Assumption Table'!$B$83:$D$101,3,FALSE)*AZ$51</f>
        <v>126125.79771604099</v>
      </c>
      <c r="BA87" s="103">
        <f ca="1">VLOOKUP($A87,'Assumption Table'!$B$83:$D$101,3,FALSE)*BA$51</f>
        <v>81089.9726236633</v>
      </c>
      <c r="BB87" s="103">
        <f ca="1">VLOOKUP($A87,'Assumption Table'!$B$83:$D$101,3,FALSE)*BB$51</f>
        <v>111083.61828860373</v>
      </c>
      <c r="BC87" s="103">
        <f ca="1">VLOOKUP($A87,'Assumption Table'!$B$83:$D$101,3,FALSE)*BC$51</f>
        <v>160548.16570826832</v>
      </c>
      <c r="BD87" s="103">
        <f ca="1">VLOOKUP($A87,'Assumption Table'!$B$83:$D$101,3,FALSE)*BD$51</f>
        <v>160658.94416481972</v>
      </c>
      <c r="BE87" s="103">
        <f ca="1">VLOOKUP($A87,'Assumption Table'!$B$83:$D$101,3,FALSE)*BE$51</f>
        <v>213618.07492970847</v>
      </c>
      <c r="BF87" s="103">
        <f ca="1">VLOOKUP($A87,'Assumption Table'!$B$83:$D$101,3,FALSE)*BF$51</f>
        <v>213219.08376086652</v>
      </c>
      <c r="BG87" s="103">
        <f ca="1">VLOOKUP($A87,'Assumption Table'!$B$83:$D$101,3,FALSE)*BG$51</f>
        <v>192340.05941693825</v>
      </c>
      <c r="BH87" s="103">
        <f ca="1">VLOOKUP($A87,'Assumption Table'!$B$83:$D$101,3,FALSE)*BH$51</f>
        <v>112421.17385854686</v>
      </c>
      <c r="BI87" s="104">
        <f ca="1">VLOOKUP($A87,'Assumption Table'!$B$83:$D$101,3,FALSE)*BI$51</f>
        <v>191720.6228289732</v>
      </c>
      <c r="BJ87" s="10" t="str">
        <f t="shared" si="29"/>
        <v>Computers and Workstations</v>
      </c>
      <c r="BK87" s="127">
        <f ca="1">SUMIFS($B87:$BI87,$B$4:$BI$4,"&lt;=12")</f>
        <v>133733.68360054516</v>
      </c>
      <c r="BL87" s="127">
        <f ca="1">SUMIFS($B87:$BI87,$B$4:$BI$4,"&lt;=24",$B$4:$BI$4,"&gt;12")</f>
        <v>431803.01235472783</v>
      </c>
      <c r="BM87" s="127">
        <f ca="1">SUMIFS($B87:$BI87,$B$4:$BI$4,"&lt;=36",$B$4:$BI$4,"&gt;24")</f>
        <v>758092.30047012144</v>
      </c>
      <c r="BN87" s="127">
        <f ca="1">SUMIFS($B87:$BI87,$B$4:$BI$4,"&lt;=48",$B$4:$BI$4,"&gt;36")</f>
        <v>1093962.5670367328</v>
      </c>
      <c r="BO87" s="127">
        <f ca="1">SUMIFS($B87:$BI87,$B$4:$BI$4,"&lt;=60",$B$4:$BI$4,"&gt;48")</f>
        <v>1764369.3927660321</v>
      </c>
    </row>
    <row r="88" spans="1:67" ht="13.4" customHeight="1">
      <c r="A88" s="98" t="s">
        <v>90</v>
      </c>
      <c r="B88" s="103">
        <f ca="1">VLOOKUP($A88,'Assumption Table'!$B$83:$D$101,3,FALSE)*B$51</f>
        <v>3641.7126219216316</v>
      </c>
      <c r="C88" s="103">
        <f ca="1">VLOOKUP($A88,'Assumption Table'!$B$83:$D$101,3,FALSE)*C$51</f>
        <v>7037.291086220418</v>
      </c>
      <c r="D88" s="103">
        <f ca="1">VLOOKUP($A88,'Assumption Table'!$B$83:$D$101,3,FALSE)*D$51</f>
        <v>13742.649806246733</v>
      </c>
      <c r="E88" s="103">
        <f ca="1">VLOOKUP($A88,'Assumption Table'!$B$83:$D$101,3,FALSE)*E$51</f>
        <v>9648.7924387128132</v>
      </c>
      <c r="F88" s="103">
        <f ca="1">VLOOKUP($A88,'Assumption Table'!$B$83:$D$101,3,FALSE)*F$51</f>
        <v>12950.338679775386</v>
      </c>
      <c r="G88" s="103">
        <f ca="1">VLOOKUP($A88,'Assumption Table'!$B$83:$D$101,3,FALSE)*G$51</f>
        <v>22195.822101909594</v>
      </c>
      <c r="H88" s="103">
        <f ca="1">VLOOKUP($A88,'Assumption Table'!$B$83:$D$101,3,FALSE)*H$51</f>
        <v>21377.762970914951</v>
      </c>
      <c r="I88" s="103">
        <f ca="1">VLOOKUP($A88,'Assumption Table'!$B$83:$D$101,3,FALSE)*I$51</f>
        <v>29883.030570304196</v>
      </c>
      <c r="J88" s="103">
        <f ca="1">VLOOKUP($A88,'Assumption Table'!$B$83:$D$101,3,FALSE)*J$51</f>
        <v>37736.645599450159</v>
      </c>
      <c r="K88" s="103">
        <f ca="1">VLOOKUP($A88,'Assumption Table'!$B$83:$D$101,3,FALSE)*K$51</f>
        <v>37432.531533501628</v>
      </c>
      <c r="L88" s="103">
        <f ca="1">VLOOKUP($A88,'Assumption Table'!$B$83:$D$101,3,FALSE)*L$51</f>
        <v>43784.622450463408</v>
      </c>
      <c r="M88" s="103">
        <f ca="1">VLOOKUP($A88,'Assumption Table'!$B$83:$D$101,3,FALSE)*M$51</f>
        <v>28036.167341669392</v>
      </c>
      <c r="N88" s="103">
        <f ca="1">VLOOKUP($A88,'Assumption Table'!$B$83:$D$101,3,FALSE)*N$51</f>
        <v>59088.431342899938</v>
      </c>
      <c r="O88" s="103">
        <f ca="1">VLOOKUP($A88,'Assumption Table'!$B$83:$D$101,3,FALSE)*O$51</f>
        <v>58530.266625229327</v>
      </c>
      <c r="P88" s="103">
        <f ca="1">VLOOKUP($A88,'Assumption Table'!$B$83:$D$101,3,FALSE)*P$51</f>
        <v>72236.89271941669</v>
      </c>
      <c r="Q88" s="103">
        <f ca="1">VLOOKUP($A88,'Assumption Table'!$B$83:$D$101,3,FALSE)*Q$51</f>
        <v>62384.582384189387</v>
      </c>
      <c r="R88" s="103">
        <f ca="1">VLOOKUP($A88,'Assumption Table'!$B$83:$D$101,3,FALSE)*R$51</f>
        <v>70806.107647690165</v>
      </c>
      <c r="S88" s="103">
        <f ca="1">VLOOKUP($A88,'Assumption Table'!$B$83:$D$101,3,FALSE)*S$51</f>
        <v>58390.560731587866</v>
      </c>
      <c r="T88" s="103">
        <f ca="1">VLOOKUP($A88,'Assumption Table'!$B$83:$D$101,3,FALSE)*T$51</f>
        <v>61028.345114381475</v>
      </c>
      <c r="U88" s="103">
        <f ca="1">VLOOKUP($A88,'Assumption Table'!$B$83:$D$101,3,FALSE)*U$51</f>
        <v>57166.714879580068</v>
      </c>
      <c r="V88" s="103">
        <f ca="1">VLOOKUP($A88,'Assumption Table'!$B$83:$D$101,3,FALSE)*V$51</f>
        <v>92693.458854742537</v>
      </c>
      <c r="W88" s="103">
        <f ca="1">VLOOKUP($A88,'Assumption Table'!$B$83:$D$101,3,FALSE)*W$51</f>
        <v>104062.16782306931</v>
      </c>
      <c r="X88" s="103">
        <f ca="1">VLOOKUP($A88,'Assumption Table'!$B$83:$D$101,3,FALSE)*X$51</f>
        <v>97452.26223646877</v>
      </c>
      <c r="Y88" s="103">
        <f ca="1">VLOOKUP($A88,'Assumption Table'!$B$83:$D$101,3,FALSE)*Y$51</f>
        <v>69766.23435020019</v>
      </c>
      <c r="Z88" s="103">
        <f ca="1">VLOOKUP($A88,'Assumption Table'!$B$83:$D$101,3,FALSE)*Z$51</f>
        <v>137861.73332489387</v>
      </c>
      <c r="AA88" s="103">
        <f ca="1">VLOOKUP($A88,'Assumption Table'!$B$83:$D$101,3,FALSE)*AA$51</f>
        <v>107670.93147976803</v>
      </c>
      <c r="AB88" s="103">
        <f ca="1">VLOOKUP($A88,'Assumption Table'!$B$83:$D$101,3,FALSE)*AB$51</f>
        <v>96947.224633855862</v>
      </c>
      <c r="AC88" s="103">
        <f ca="1">VLOOKUP($A88,'Assumption Table'!$B$83:$D$101,3,FALSE)*AC$51</f>
        <v>148981.89137667068</v>
      </c>
      <c r="AD88" s="103">
        <f ca="1">VLOOKUP($A88,'Assumption Table'!$B$83:$D$101,3,FALSE)*AD$51</f>
        <v>93630.294620126195</v>
      </c>
      <c r="AE88" s="103">
        <f ca="1">VLOOKUP($A88,'Assumption Table'!$B$83:$D$101,3,FALSE)*AE$51</f>
        <v>163456.95512294964</v>
      </c>
      <c r="AF88" s="103">
        <f ca="1">VLOOKUP($A88,'Assumption Table'!$B$83:$D$101,3,FALSE)*AF$51</f>
        <v>106270.90479361749</v>
      </c>
      <c r="AG88" s="103">
        <f ca="1">VLOOKUP($A88,'Assumption Table'!$B$83:$D$101,3,FALSE)*AG$51</f>
        <v>71460.287393256731</v>
      </c>
      <c r="AH88" s="103">
        <f ca="1">VLOOKUP($A88,'Assumption Table'!$B$83:$D$101,3,FALSE)*AH$51</f>
        <v>84155.614437592856</v>
      </c>
      <c r="AI88" s="103">
        <f ca="1">VLOOKUP($A88,'Assumption Table'!$B$83:$D$101,3,FALSE)*AI$51</f>
        <v>120507.51958640353</v>
      </c>
      <c r="AJ88" s="103">
        <f ca="1">VLOOKUP($A88,'Assumption Table'!$B$83:$D$101,3,FALSE)*AJ$51</f>
        <v>253580.32024499617</v>
      </c>
      <c r="AK88" s="103">
        <f ca="1">VLOOKUP($A88,'Assumption Table'!$B$83:$D$101,3,FALSE)*AK$51</f>
        <v>131660.92392611186</v>
      </c>
      <c r="AL88" s="103">
        <f ca="1">VLOOKUP($A88,'Assumption Table'!$B$83:$D$101,3,FALSE)*AL$51</f>
        <v>205692.02439309497</v>
      </c>
      <c r="AM88" s="103">
        <f ca="1">VLOOKUP($A88,'Assumption Table'!$B$83:$D$101,3,FALSE)*AM$51</f>
        <v>223695.73016329398</v>
      </c>
      <c r="AN88" s="103">
        <f ca="1">VLOOKUP($A88,'Assumption Table'!$B$83:$D$101,3,FALSE)*AN$51</f>
        <v>177975.5026697283</v>
      </c>
      <c r="AO88" s="103">
        <f ca="1">VLOOKUP($A88,'Assumption Table'!$B$83:$D$101,3,FALSE)*AO$51</f>
        <v>85403.942211514397</v>
      </c>
      <c r="AP88" s="103">
        <f ca="1">VLOOKUP($A88,'Assumption Table'!$B$83:$D$101,3,FALSE)*AP$51</f>
        <v>105715.50822191891</v>
      </c>
      <c r="AQ88" s="103">
        <f ca="1">VLOOKUP($A88,'Assumption Table'!$B$83:$D$101,3,FALSE)*AQ$51</f>
        <v>157250.15515214208</v>
      </c>
      <c r="AR88" s="103">
        <f ca="1">VLOOKUP($A88,'Assumption Table'!$B$83:$D$101,3,FALSE)*AR$51</f>
        <v>98206.888780995403</v>
      </c>
      <c r="AS88" s="103">
        <f ca="1">VLOOKUP($A88,'Assumption Table'!$B$83:$D$101,3,FALSE)*AS$51</f>
        <v>222085.85023455616</v>
      </c>
      <c r="AT88" s="103">
        <f ca="1">VLOOKUP($A88,'Assumption Table'!$B$83:$D$101,3,FALSE)*AT$51</f>
        <v>228372.04907699954</v>
      </c>
      <c r="AU88" s="103">
        <f ca="1">VLOOKUP($A88,'Assumption Table'!$B$83:$D$101,3,FALSE)*AU$51</f>
        <v>206635.48990386736</v>
      </c>
      <c r="AV88" s="103">
        <f ca="1">VLOOKUP($A88,'Assumption Table'!$B$83:$D$101,3,FALSE)*AV$51</f>
        <v>226526.73658094197</v>
      </c>
      <c r="AW88" s="103">
        <f ca="1">VLOOKUP($A88,'Assumption Table'!$B$83:$D$101,3,FALSE)*AW$51</f>
        <v>250365.25668441254</v>
      </c>
      <c r="AX88" s="103">
        <f ca="1">VLOOKUP($A88,'Assumption Table'!$B$83:$D$101,3,FALSE)*AX$51</f>
        <v>224244.89144873444</v>
      </c>
      <c r="AY88" s="103">
        <f ca="1">VLOOKUP($A88,'Assumption Table'!$B$83:$D$101,3,FALSE)*AY$51</f>
        <v>178842.86749047102</v>
      </c>
      <c r="AZ88" s="103">
        <f ca="1">VLOOKUP($A88,'Assumption Table'!$B$83:$D$101,3,FALSE)*AZ$51</f>
        <v>252251.59543208199</v>
      </c>
      <c r="BA88" s="103">
        <f ca="1">VLOOKUP($A88,'Assumption Table'!$B$83:$D$101,3,FALSE)*BA$51</f>
        <v>162179.9452473266</v>
      </c>
      <c r="BB88" s="103">
        <f ca="1">VLOOKUP($A88,'Assumption Table'!$B$83:$D$101,3,FALSE)*BB$51</f>
        <v>222167.23657720746</v>
      </c>
      <c r="BC88" s="103">
        <f ca="1">VLOOKUP($A88,'Assumption Table'!$B$83:$D$101,3,FALSE)*BC$51</f>
        <v>321096.33141653665</v>
      </c>
      <c r="BD88" s="103">
        <f ca="1">VLOOKUP($A88,'Assumption Table'!$B$83:$D$101,3,FALSE)*BD$51</f>
        <v>321317.88832963945</v>
      </c>
      <c r="BE88" s="103">
        <f ca="1">VLOOKUP($A88,'Assumption Table'!$B$83:$D$101,3,FALSE)*BE$51</f>
        <v>427236.14985941694</v>
      </c>
      <c r="BF88" s="103">
        <f ca="1">VLOOKUP($A88,'Assumption Table'!$B$83:$D$101,3,FALSE)*BF$51</f>
        <v>426438.16752173303</v>
      </c>
      <c r="BG88" s="103">
        <f ca="1">VLOOKUP($A88,'Assumption Table'!$B$83:$D$101,3,FALSE)*BG$51</f>
        <v>384680.11883387651</v>
      </c>
      <c r="BH88" s="103">
        <f ca="1">VLOOKUP($A88,'Assumption Table'!$B$83:$D$101,3,FALSE)*BH$51</f>
        <v>224842.34771709371</v>
      </c>
      <c r="BI88" s="104">
        <f ca="1">VLOOKUP($A88,'Assumption Table'!$B$83:$D$101,3,FALSE)*BI$51</f>
        <v>383441.24565794639</v>
      </c>
      <c r="BJ88" s="10" t="str">
        <f t="shared" si="29"/>
        <v>Storage Devices</v>
      </c>
      <c r="BK88" s="127">
        <f ca="1">SUMIFS($B88:$BI88,$B$4:$BI$4,"&lt;=12")</f>
        <v>267467.36720109032</v>
      </c>
      <c r="BL88" s="127">
        <f ca="1">SUMIFS($B88:$BI88,$B$4:$BI$4,"&lt;=24",$B$4:$BI$4,"&gt;12")</f>
        <v>863606.02470945567</v>
      </c>
      <c r="BM88" s="127">
        <f ca="1">SUMIFS($B88:$BI88,$B$4:$BI$4,"&lt;=36",$B$4:$BI$4,"&gt;24")</f>
        <v>1516184.6009402429</v>
      </c>
      <c r="BN88" s="127">
        <f ca="1">SUMIFS($B88:$BI88,$B$4:$BI$4,"&lt;=48",$B$4:$BI$4,"&gt;36")</f>
        <v>2187925.1340734656</v>
      </c>
      <c r="BO88" s="127">
        <f ca="1">SUMIFS($B88:$BI88,$B$4:$BI$4,"&lt;=60",$B$4:$BI$4,"&gt;48")</f>
        <v>3528738.7855320643</v>
      </c>
    </row>
    <row r="89" spans="1:67" ht="13.4" customHeight="1">
      <c r="A89" s="5" t="s">
        <v>91</v>
      </c>
      <c r="B89" s="4"/>
      <c r="C89" s="6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13"/>
      <c r="BJ89" s="8" t="str">
        <f t="shared" si="29"/>
        <v>Development Costs</v>
      </c>
      <c r="BK89" s="6"/>
      <c r="BL89" s="6"/>
      <c r="BM89" s="6"/>
      <c r="BN89" s="6"/>
      <c r="BO89" s="6"/>
    </row>
    <row r="90" spans="1:67" ht="13.4" customHeight="1">
      <c r="A90" s="98" t="s">
        <v>92</v>
      </c>
      <c r="B90" s="103">
        <f ca="1">VLOOKUP($A90,'Assumption Table'!$B$83:$D$101,3,FALSE)*B$51</f>
        <v>9104.2815548040799</v>
      </c>
      <c r="C90" s="103">
        <f ca="1">VLOOKUP($A90,'Assumption Table'!$B$83:$D$101,3,FALSE)*C$51</f>
        <v>17593.227715551046</v>
      </c>
      <c r="D90" s="103">
        <f ca="1">VLOOKUP($A90,'Assumption Table'!$B$83:$D$101,3,FALSE)*D$51</f>
        <v>34356.62451561683</v>
      </c>
      <c r="E90" s="103">
        <f ca="1">VLOOKUP($A90,'Assumption Table'!$B$83:$D$101,3,FALSE)*E$51</f>
        <v>24121.981096782034</v>
      </c>
      <c r="F90" s="103">
        <f ca="1">VLOOKUP($A90,'Assumption Table'!$B$83:$D$101,3,FALSE)*F$51</f>
        <v>32375.846699438465</v>
      </c>
      <c r="G90" s="103">
        <f ca="1">VLOOKUP($A90,'Assumption Table'!$B$83:$D$101,3,FALSE)*G$51</f>
        <v>55489.555254773986</v>
      </c>
      <c r="H90" s="103">
        <f ca="1">VLOOKUP($A90,'Assumption Table'!$B$83:$D$101,3,FALSE)*H$51</f>
        <v>53444.407427287384</v>
      </c>
      <c r="I90" s="103">
        <f ca="1">VLOOKUP($A90,'Assumption Table'!$B$83:$D$101,3,FALSE)*I$51</f>
        <v>74707.57642576049</v>
      </c>
      <c r="J90" s="103">
        <f ca="1">VLOOKUP($A90,'Assumption Table'!$B$83:$D$101,3,FALSE)*J$51</f>
        <v>94341.613998625413</v>
      </c>
      <c r="K90" s="103">
        <f ca="1">VLOOKUP($A90,'Assumption Table'!$B$83:$D$101,3,FALSE)*K$51</f>
        <v>93581.328833754073</v>
      </c>
      <c r="L90" s="103">
        <f ca="1">VLOOKUP($A90,'Assumption Table'!$B$83:$D$101,3,FALSE)*L$51</f>
        <v>109461.55612615852</v>
      </c>
      <c r="M90" s="103">
        <f ca="1">VLOOKUP($A90,'Assumption Table'!$B$83:$D$101,3,FALSE)*M$51</f>
        <v>70090.418354173482</v>
      </c>
      <c r="N90" s="103">
        <f ca="1">VLOOKUP($A90,'Assumption Table'!$B$83:$D$101,3,FALSE)*N$51</f>
        <v>147721.07835724985</v>
      </c>
      <c r="O90" s="103">
        <f ca="1">VLOOKUP($A90,'Assumption Table'!$B$83:$D$101,3,FALSE)*O$51</f>
        <v>146325.66656307332</v>
      </c>
      <c r="P90" s="103">
        <f ca="1">VLOOKUP($A90,'Assumption Table'!$B$83:$D$101,3,FALSE)*P$51</f>
        <v>180592.23179854173</v>
      </c>
      <c r="Q90" s="103">
        <f ca="1">VLOOKUP($A90,'Assumption Table'!$B$83:$D$101,3,FALSE)*Q$51</f>
        <v>155961.45596047348</v>
      </c>
      <c r="R90" s="103">
        <f ca="1">VLOOKUP($A90,'Assumption Table'!$B$83:$D$101,3,FALSE)*R$51</f>
        <v>177015.26911922541</v>
      </c>
      <c r="S90" s="103">
        <f ca="1">VLOOKUP($A90,'Assumption Table'!$B$83:$D$101,3,FALSE)*S$51</f>
        <v>145976.40182896968</v>
      </c>
      <c r="T90" s="103">
        <f ca="1">VLOOKUP($A90,'Assumption Table'!$B$83:$D$101,3,FALSE)*T$51</f>
        <v>152570.86278595368</v>
      </c>
      <c r="U90" s="103">
        <f ca="1">VLOOKUP($A90,'Assumption Table'!$B$83:$D$101,3,FALSE)*U$51</f>
        <v>142916.78719895016</v>
      </c>
      <c r="V90" s="103">
        <f ca="1">VLOOKUP($A90,'Assumption Table'!$B$83:$D$101,3,FALSE)*V$51</f>
        <v>231733.64713685634</v>
      </c>
      <c r="W90" s="103">
        <f ca="1">VLOOKUP($A90,'Assumption Table'!$B$83:$D$101,3,FALSE)*W$51</f>
        <v>260155.41955767327</v>
      </c>
      <c r="X90" s="103">
        <f ca="1">VLOOKUP($A90,'Assumption Table'!$B$83:$D$101,3,FALSE)*X$51</f>
        <v>243630.65559117193</v>
      </c>
      <c r="Y90" s="103">
        <f ca="1">VLOOKUP($A90,'Assumption Table'!$B$83:$D$101,3,FALSE)*Y$51</f>
        <v>174415.58587550046</v>
      </c>
      <c r="Z90" s="103">
        <f ca="1">VLOOKUP($A90,'Assumption Table'!$B$83:$D$101,3,FALSE)*Z$51</f>
        <v>344654.33331223467</v>
      </c>
      <c r="AA90" s="103">
        <f ca="1">VLOOKUP($A90,'Assumption Table'!$B$83:$D$101,3,FALSE)*AA$51</f>
        <v>269177.32869942009</v>
      </c>
      <c r="AB90" s="103">
        <f ca="1">VLOOKUP($A90,'Assumption Table'!$B$83:$D$101,3,FALSE)*AB$51</f>
        <v>242368.06158463965</v>
      </c>
      <c r="AC90" s="103">
        <f ca="1">VLOOKUP($A90,'Assumption Table'!$B$83:$D$101,3,FALSE)*AC$51</f>
        <v>372454.72844167677</v>
      </c>
      <c r="AD90" s="103">
        <f ca="1">VLOOKUP($A90,'Assumption Table'!$B$83:$D$101,3,FALSE)*AD$51</f>
        <v>234075.73655031549</v>
      </c>
      <c r="AE90" s="103">
        <f ca="1">VLOOKUP($A90,'Assumption Table'!$B$83:$D$101,3,FALSE)*AE$51</f>
        <v>408642.38780737412</v>
      </c>
      <c r="AF90" s="103">
        <f ca="1">VLOOKUP($A90,'Assumption Table'!$B$83:$D$101,3,FALSE)*AF$51</f>
        <v>265677.2619840437</v>
      </c>
      <c r="AG90" s="103">
        <f ca="1">VLOOKUP($A90,'Assumption Table'!$B$83:$D$101,3,FALSE)*AG$51</f>
        <v>178650.71848314186</v>
      </c>
      <c r="AH90" s="103">
        <f ca="1">VLOOKUP($A90,'Assumption Table'!$B$83:$D$101,3,FALSE)*AH$51</f>
        <v>210389.03609398214</v>
      </c>
      <c r="AI90" s="103">
        <f ca="1">VLOOKUP($A90,'Assumption Table'!$B$83:$D$101,3,FALSE)*AI$51</f>
        <v>301268.79896600888</v>
      </c>
      <c r="AJ90" s="103">
        <f ca="1">VLOOKUP($A90,'Assumption Table'!$B$83:$D$101,3,FALSE)*AJ$51</f>
        <v>633950.80061249051</v>
      </c>
      <c r="AK90" s="103">
        <f ca="1">VLOOKUP($A90,'Assumption Table'!$B$83:$D$101,3,FALSE)*AK$51</f>
        <v>329152.30981527967</v>
      </c>
      <c r="AL90" s="103">
        <f ca="1">VLOOKUP($A90,'Assumption Table'!$B$83:$D$101,3,FALSE)*AL$51</f>
        <v>514230.06098273746</v>
      </c>
      <c r="AM90" s="103">
        <f ca="1">VLOOKUP($A90,'Assumption Table'!$B$83:$D$101,3,FALSE)*AM$51</f>
        <v>559239.32540823496</v>
      </c>
      <c r="AN90" s="103">
        <f ca="1">VLOOKUP($A90,'Assumption Table'!$B$83:$D$101,3,FALSE)*AN$51</f>
        <v>444938.75667432073</v>
      </c>
      <c r="AO90" s="103">
        <f ca="1">VLOOKUP($A90,'Assumption Table'!$B$83:$D$101,3,FALSE)*AO$51</f>
        <v>213509.85552878599</v>
      </c>
      <c r="AP90" s="103">
        <f ca="1">VLOOKUP($A90,'Assumption Table'!$B$83:$D$101,3,FALSE)*AP$51</f>
        <v>264288.77055479726</v>
      </c>
      <c r="AQ90" s="103">
        <f ca="1">VLOOKUP($A90,'Assumption Table'!$B$83:$D$101,3,FALSE)*AQ$51</f>
        <v>393125.38788035524</v>
      </c>
      <c r="AR90" s="103">
        <f ca="1">VLOOKUP($A90,'Assumption Table'!$B$83:$D$101,3,FALSE)*AR$51</f>
        <v>245517.22195248853</v>
      </c>
      <c r="AS90" s="103">
        <f ca="1">VLOOKUP($A90,'Assumption Table'!$B$83:$D$101,3,FALSE)*AS$51</f>
        <v>555214.62558639038</v>
      </c>
      <c r="AT90" s="103">
        <f ca="1">VLOOKUP($A90,'Assumption Table'!$B$83:$D$101,3,FALSE)*AT$51</f>
        <v>570930.12269249884</v>
      </c>
      <c r="AU90" s="103">
        <f ca="1">VLOOKUP($A90,'Assumption Table'!$B$83:$D$101,3,FALSE)*AU$51</f>
        <v>516588.7247596684</v>
      </c>
      <c r="AV90" s="103">
        <f ca="1">VLOOKUP($A90,'Assumption Table'!$B$83:$D$101,3,FALSE)*AV$51</f>
        <v>566316.84145235491</v>
      </c>
      <c r="AW90" s="103">
        <f ca="1">VLOOKUP($A90,'Assumption Table'!$B$83:$D$101,3,FALSE)*AW$51</f>
        <v>625913.14171103144</v>
      </c>
      <c r="AX90" s="103">
        <f ca="1">VLOOKUP($A90,'Assumption Table'!$B$83:$D$101,3,FALSE)*AX$51</f>
        <v>560612.22862183617</v>
      </c>
      <c r="AY90" s="103">
        <f ca="1">VLOOKUP($A90,'Assumption Table'!$B$83:$D$101,3,FALSE)*AY$51</f>
        <v>447107.16872617754</v>
      </c>
      <c r="AZ90" s="103">
        <f ca="1">VLOOKUP($A90,'Assumption Table'!$B$83:$D$101,3,FALSE)*AZ$51</f>
        <v>630628.98858020501</v>
      </c>
      <c r="BA90" s="103">
        <f ca="1">VLOOKUP($A90,'Assumption Table'!$B$83:$D$101,3,FALSE)*BA$51</f>
        <v>405449.86311831651</v>
      </c>
      <c r="BB90" s="103">
        <f ca="1">VLOOKUP($A90,'Assumption Table'!$B$83:$D$101,3,FALSE)*BB$51</f>
        <v>555418.09144301864</v>
      </c>
      <c r="BC90" s="103">
        <f ca="1">VLOOKUP($A90,'Assumption Table'!$B$83:$D$101,3,FALSE)*BC$51</f>
        <v>802740.8285413417</v>
      </c>
      <c r="BD90" s="103">
        <f ca="1">VLOOKUP($A90,'Assumption Table'!$B$83:$D$101,3,FALSE)*BD$51</f>
        <v>803294.72082409868</v>
      </c>
      <c r="BE90" s="103">
        <f ca="1">VLOOKUP($A90,'Assumption Table'!$B$83:$D$101,3,FALSE)*BE$51</f>
        <v>1068090.3746485424</v>
      </c>
      <c r="BF90" s="103">
        <f ca="1">VLOOKUP($A90,'Assumption Table'!$B$83:$D$101,3,FALSE)*BF$51</f>
        <v>1066095.4188043326</v>
      </c>
      <c r="BG90" s="103">
        <f ca="1">VLOOKUP($A90,'Assumption Table'!$B$83:$D$101,3,FALSE)*BG$51</f>
        <v>961700.29708469124</v>
      </c>
      <c r="BH90" s="103">
        <f ca="1">VLOOKUP($A90,'Assumption Table'!$B$83:$D$101,3,FALSE)*BH$51</f>
        <v>562105.86929273431</v>
      </c>
      <c r="BI90" s="104">
        <f ca="1">VLOOKUP($A90,'Assumption Table'!$B$83:$D$101,3,FALSE)*BI$51</f>
        <v>958603.11414486601</v>
      </c>
      <c r="BJ90" s="10" t="str">
        <f t="shared" si="29"/>
        <v>Product Development</v>
      </c>
      <c r="BK90" s="127">
        <f ca="1">SUMIFS($B90:$BI90,$B$4:$BI$4,"&lt;=12")</f>
        <v>668668.41800272581</v>
      </c>
      <c r="BL90" s="127">
        <f ca="1">SUMIFS($B90:$BI90,$B$4:$BI$4,"&lt;=24",$B$4:$BI$4,"&gt;12")</f>
        <v>2159015.0617736392</v>
      </c>
      <c r="BM90" s="127">
        <f ca="1">SUMIFS($B90:$BI90,$B$4:$BI$4,"&lt;=36",$B$4:$BI$4,"&gt;24")</f>
        <v>3790461.502350607</v>
      </c>
      <c r="BN90" s="127">
        <f ca="1">SUMIFS($B90:$BI90,$B$4:$BI$4,"&lt;=48",$B$4:$BI$4,"&gt;36")</f>
        <v>5469812.8351836633</v>
      </c>
      <c r="BO90" s="127">
        <f ca="1">SUMIFS($B90:$BI90,$B$4:$BI$4,"&lt;=60",$B$4:$BI$4,"&gt;48")</f>
        <v>8821846.96383016</v>
      </c>
    </row>
    <row r="91" spans="1:67" ht="13.4" customHeight="1">
      <c r="A91" s="10" t="s">
        <v>93</v>
      </c>
      <c r="B91" s="103">
        <f ca="1">VLOOKUP($A91,'Assumption Table'!$B$83:$D$101,3,FALSE)*B$51</f>
        <v>3641.7126219216316</v>
      </c>
      <c r="C91" s="103">
        <f ca="1">VLOOKUP($A91,'Assumption Table'!$B$83:$D$101,3,FALSE)*C$51</f>
        <v>7037.291086220418</v>
      </c>
      <c r="D91" s="103">
        <f ca="1">VLOOKUP($A91,'Assumption Table'!$B$83:$D$101,3,FALSE)*D$51</f>
        <v>13742.649806246733</v>
      </c>
      <c r="E91" s="103">
        <f ca="1">VLOOKUP($A91,'Assumption Table'!$B$83:$D$101,3,FALSE)*E$51</f>
        <v>9648.7924387128132</v>
      </c>
      <c r="F91" s="103">
        <f ca="1">VLOOKUP($A91,'Assumption Table'!$B$83:$D$101,3,FALSE)*F$51</f>
        <v>12950.338679775386</v>
      </c>
      <c r="G91" s="103">
        <f ca="1">VLOOKUP($A91,'Assumption Table'!$B$83:$D$101,3,FALSE)*G$51</f>
        <v>22195.822101909594</v>
      </c>
      <c r="H91" s="103">
        <f ca="1">VLOOKUP($A91,'Assumption Table'!$B$83:$D$101,3,FALSE)*H$51</f>
        <v>21377.762970914951</v>
      </c>
      <c r="I91" s="103">
        <f ca="1">VLOOKUP($A91,'Assumption Table'!$B$83:$D$101,3,FALSE)*I$51</f>
        <v>29883.030570304196</v>
      </c>
      <c r="J91" s="103">
        <f ca="1">VLOOKUP($A91,'Assumption Table'!$B$83:$D$101,3,FALSE)*J$51</f>
        <v>37736.645599450159</v>
      </c>
      <c r="K91" s="103">
        <f ca="1">VLOOKUP($A91,'Assumption Table'!$B$83:$D$101,3,FALSE)*K$51</f>
        <v>37432.531533501628</v>
      </c>
      <c r="L91" s="103">
        <f ca="1">VLOOKUP($A91,'Assumption Table'!$B$83:$D$101,3,FALSE)*L$51</f>
        <v>43784.622450463408</v>
      </c>
      <c r="M91" s="103">
        <f ca="1">VLOOKUP($A91,'Assumption Table'!$B$83:$D$101,3,FALSE)*M$51</f>
        <v>28036.167341669392</v>
      </c>
      <c r="N91" s="103">
        <f ca="1">VLOOKUP($A91,'Assumption Table'!$B$83:$D$101,3,FALSE)*N$51</f>
        <v>59088.431342899938</v>
      </c>
      <c r="O91" s="103">
        <f ca="1">VLOOKUP($A91,'Assumption Table'!$B$83:$D$101,3,FALSE)*O$51</f>
        <v>58530.266625229327</v>
      </c>
      <c r="P91" s="103">
        <f ca="1">VLOOKUP($A91,'Assumption Table'!$B$83:$D$101,3,FALSE)*P$51</f>
        <v>72236.89271941669</v>
      </c>
      <c r="Q91" s="103">
        <f ca="1">VLOOKUP($A91,'Assumption Table'!$B$83:$D$101,3,FALSE)*Q$51</f>
        <v>62384.582384189387</v>
      </c>
      <c r="R91" s="103">
        <f ca="1">VLOOKUP($A91,'Assumption Table'!$B$83:$D$101,3,FALSE)*R$51</f>
        <v>70806.107647690165</v>
      </c>
      <c r="S91" s="103">
        <f ca="1">VLOOKUP($A91,'Assumption Table'!$B$83:$D$101,3,FALSE)*S$51</f>
        <v>58390.560731587866</v>
      </c>
      <c r="T91" s="103">
        <f ca="1">VLOOKUP($A91,'Assumption Table'!$B$83:$D$101,3,FALSE)*T$51</f>
        <v>61028.345114381475</v>
      </c>
      <c r="U91" s="103">
        <f ca="1">VLOOKUP($A91,'Assumption Table'!$B$83:$D$101,3,FALSE)*U$51</f>
        <v>57166.714879580068</v>
      </c>
      <c r="V91" s="103">
        <f ca="1">VLOOKUP($A91,'Assumption Table'!$B$83:$D$101,3,FALSE)*V$51</f>
        <v>92693.458854742537</v>
      </c>
      <c r="W91" s="103">
        <f ca="1">VLOOKUP($A91,'Assumption Table'!$B$83:$D$101,3,FALSE)*W$51</f>
        <v>104062.16782306931</v>
      </c>
      <c r="X91" s="103">
        <f ca="1">VLOOKUP($A91,'Assumption Table'!$B$83:$D$101,3,FALSE)*X$51</f>
        <v>97452.26223646877</v>
      </c>
      <c r="Y91" s="103">
        <f ca="1">VLOOKUP($A91,'Assumption Table'!$B$83:$D$101,3,FALSE)*Y$51</f>
        <v>69766.23435020019</v>
      </c>
      <c r="Z91" s="103">
        <f ca="1">VLOOKUP($A91,'Assumption Table'!$B$83:$D$101,3,FALSE)*Z$51</f>
        <v>137861.73332489387</v>
      </c>
      <c r="AA91" s="103">
        <f ca="1">VLOOKUP($A91,'Assumption Table'!$B$83:$D$101,3,FALSE)*AA$51</f>
        <v>107670.93147976803</v>
      </c>
      <c r="AB91" s="103">
        <f ca="1">VLOOKUP($A91,'Assumption Table'!$B$83:$D$101,3,FALSE)*AB$51</f>
        <v>96947.224633855862</v>
      </c>
      <c r="AC91" s="103">
        <f ca="1">VLOOKUP($A91,'Assumption Table'!$B$83:$D$101,3,FALSE)*AC$51</f>
        <v>148981.89137667068</v>
      </c>
      <c r="AD91" s="103">
        <f ca="1">VLOOKUP($A91,'Assumption Table'!$B$83:$D$101,3,FALSE)*AD$51</f>
        <v>93630.294620126195</v>
      </c>
      <c r="AE91" s="103">
        <f ca="1">VLOOKUP($A91,'Assumption Table'!$B$83:$D$101,3,FALSE)*AE$51</f>
        <v>163456.95512294964</v>
      </c>
      <c r="AF91" s="103">
        <f ca="1">VLOOKUP($A91,'Assumption Table'!$B$83:$D$101,3,FALSE)*AF$51</f>
        <v>106270.90479361749</v>
      </c>
      <c r="AG91" s="103">
        <f ca="1">VLOOKUP($A91,'Assumption Table'!$B$83:$D$101,3,FALSE)*AG$51</f>
        <v>71460.287393256731</v>
      </c>
      <c r="AH91" s="103">
        <f ca="1">VLOOKUP($A91,'Assumption Table'!$B$83:$D$101,3,FALSE)*AH$51</f>
        <v>84155.614437592856</v>
      </c>
      <c r="AI91" s="103">
        <f ca="1">VLOOKUP($A91,'Assumption Table'!$B$83:$D$101,3,FALSE)*AI$51</f>
        <v>120507.51958640353</v>
      </c>
      <c r="AJ91" s="103">
        <f ca="1">VLOOKUP($A91,'Assumption Table'!$B$83:$D$101,3,FALSE)*AJ$51</f>
        <v>253580.32024499617</v>
      </c>
      <c r="AK91" s="103">
        <f ca="1">VLOOKUP($A91,'Assumption Table'!$B$83:$D$101,3,FALSE)*AK$51</f>
        <v>131660.92392611186</v>
      </c>
      <c r="AL91" s="103">
        <f ca="1">VLOOKUP($A91,'Assumption Table'!$B$83:$D$101,3,FALSE)*AL$51</f>
        <v>205692.02439309497</v>
      </c>
      <c r="AM91" s="103">
        <f ca="1">VLOOKUP($A91,'Assumption Table'!$B$83:$D$101,3,FALSE)*AM$51</f>
        <v>223695.73016329398</v>
      </c>
      <c r="AN91" s="103">
        <f ca="1">VLOOKUP($A91,'Assumption Table'!$B$83:$D$101,3,FALSE)*AN$51</f>
        <v>177975.5026697283</v>
      </c>
      <c r="AO91" s="103">
        <f ca="1">VLOOKUP($A91,'Assumption Table'!$B$83:$D$101,3,FALSE)*AO$51</f>
        <v>85403.942211514397</v>
      </c>
      <c r="AP91" s="103">
        <f ca="1">VLOOKUP($A91,'Assumption Table'!$B$83:$D$101,3,FALSE)*AP$51</f>
        <v>105715.50822191891</v>
      </c>
      <c r="AQ91" s="103">
        <f ca="1">VLOOKUP($A91,'Assumption Table'!$B$83:$D$101,3,FALSE)*AQ$51</f>
        <v>157250.15515214208</v>
      </c>
      <c r="AR91" s="103">
        <f ca="1">VLOOKUP($A91,'Assumption Table'!$B$83:$D$101,3,FALSE)*AR$51</f>
        <v>98206.888780995403</v>
      </c>
      <c r="AS91" s="103">
        <f ca="1">VLOOKUP($A91,'Assumption Table'!$B$83:$D$101,3,FALSE)*AS$51</f>
        <v>222085.85023455616</v>
      </c>
      <c r="AT91" s="103">
        <f ca="1">VLOOKUP($A91,'Assumption Table'!$B$83:$D$101,3,FALSE)*AT$51</f>
        <v>228372.04907699954</v>
      </c>
      <c r="AU91" s="103">
        <f ca="1">VLOOKUP($A91,'Assumption Table'!$B$83:$D$101,3,FALSE)*AU$51</f>
        <v>206635.48990386736</v>
      </c>
      <c r="AV91" s="103">
        <f ca="1">VLOOKUP($A91,'Assumption Table'!$B$83:$D$101,3,FALSE)*AV$51</f>
        <v>226526.73658094197</v>
      </c>
      <c r="AW91" s="103">
        <f ca="1">VLOOKUP($A91,'Assumption Table'!$B$83:$D$101,3,FALSE)*AW$51</f>
        <v>250365.25668441254</v>
      </c>
      <c r="AX91" s="103">
        <f ca="1">VLOOKUP($A91,'Assumption Table'!$B$83:$D$101,3,FALSE)*AX$51</f>
        <v>224244.89144873444</v>
      </c>
      <c r="AY91" s="103">
        <f ca="1">VLOOKUP($A91,'Assumption Table'!$B$83:$D$101,3,FALSE)*AY$51</f>
        <v>178842.86749047102</v>
      </c>
      <c r="AZ91" s="103">
        <f ca="1">VLOOKUP($A91,'Assumption Table'!$B$83:$D$101,3,FALSE)*AZ$51</f>
        <v>252251.59543208199</v>
      </c>
      <c r="BA91" s="103">
        <f ca="1">VLOOKUP($A91,'Assumption Table'!$B$83:$D$101,3,FALSE)*BA$51</f>
        <v>162179.9452473266</v>
      </c>
      <c r="BB91" s="103">
        <f ca="1">VLOOKUP($A91,'Assumption Table'!$B$83:$D$101,3,FALSE)*BB$51</f>
        <v>222167.23657720746</v>
      </c>
      <c r="BC91" s="103">
        <f ca="1">VLOOKUP($A91,'Assumption Table'!$B$83:$D$101,3,FALSE)*BC$51</f>
        <v>321096.33141653665</v>
      </c>
      <c r="BD91" s="103">
        <f ca="1">VLOOKUP($A91,'Assumption Table'!$B$83:$D$101,3,FALSE)*BD$51</f>
        <v>321317.88832963945</v>
      </c>
      <c r="BE91" s="103">
        <f ca="1">VLOOKUP($A91,'Assumption Table'!$B$83:$D$101,3,FALSE)*BE$51</f>
        <v>427236.14985941694</v>
      </c>
      <c r="BF91" s="103">
        <f ca="1">VLOOKUP($A91,'Assumption Table'!$B$83:$D$101,3,FALSE)*BF$51</f>
        <v>426438.16752173303</v>
      </c>
      <c r="BG91" s="103">
        <f ca="1">VLOOKUP($A91,'Assumption Table'!$B$83:$D$101,3,FALSE)*BG$51</f>
        <v>384680.11883387651</v>
      </c>
      <c r="BH91" s="103">
        <f ca="1">VLOOKUP($A91,'Assumption Table'!$B$83:$D$101,3,FALSE)*BH$51</f>
        <v>224842.34771709371</v>
      </c>
      <c r="BI91" s="104">
        <f ca="1">VLOOKUP($A91,'Assumption Table'!$B$83:$D$101,3,FALSE)*BI$51</f>
        <v>383441.24565794639</v>
      </c>
      <c r="BJ91" s="10" t="str">
        <f t="shared" si="29"/>
        <v>Research and Development</v>
      </c>
      <c r="BK91" s="127">
        <f ca="1">SUMIFS($B91:$BI91,$B$4:$BI$4,"&lt;=12")</f>
        <v>267467.36720109032</v>
      </c>
      <c r="BL91" s="127">
        <f ca="1">SUMIFS($B91:$BI91,$B$4:$BI$4,"&lt;=24",$B$4:$BI$4,"&gt;12")</f>
        <v>863606.02470945567</v>
      </c>
      <c r="BM91" s="127">
        <f ca="1">SUMIFS($B91:$BI91,$B$4:$BI$4,"&lt;=36",$B$4:$BI$4,"&gt;24")</f>
        <v>1516184.6009402429</v>
      </c>
      <c r="BN91" s="127">
        <f ca="1">SUMIFS($B91:$BI91,$B$4:$BI$4,"&lt;=48",$B$4:$BI$4,"&gt;36")</f>
        <v>2187925.1340734656</v>
      </c>
      <c r="BO91" s="127">
        <f ca="1">SUMIFS($B91:$BI91,$B$4:$BI$4,"&lt;=60",$B$4:$BI$4,"&gt;48")</f>
        <v>3528738.7855320643</v>
      </c>
    </row>
    <row r="92" spans="1:67" ht="13.4" customHeight="1">
      <c r="A92" s="5" t="s">
        <v>94</v>
      </c>
      <c r="B92" s="6"/>
      <c r="C92" s="6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13"/>
      <c r="BJ92" s="8" t="str">
        <f t="shared" si="29"/>
        <v>Intellectual Property</v>
      </c>
      <c r="BK92" s="6"/>
      <c r="BL92" s="6"/>
      <c r="BM92" s="6"/>
      <c r="BN92" s="6"/>
      <c r="BO92" s="6"/>
    </row>
    <row r="93" spans="1:67" ht="13.4" customHeight="1">
      <c r="A93" s="98" t="s">
        <v>95</v>
      </c>
      <c r="B93" s="103">
        <f ca="1">VLOOKUP($A93,'Assumption Table'!$B$83:$D$101,3,FALSE)*B$51</f>
        <v>910.4281554804079</v>
      </c>
      <c r="C93" s="103">
        <f ca="1">VLOOKUP($A93,'Assumption Table'!$B$83:$D$101,3,FALSE)*C$51</f>
        <v>1759.3227715551045</v>
      </c>
      <c r="D93" s="103">
        <f ca="1">VLOOKUP($A93,'Assumption Table'!$B$83:$D$101,3,FALSE)*D$51</f>
        <v>3435.6624515616832</v>
      </c>
      <c r="E93" s="103">
        <f ca="1">VLOOKUP($A93,'Assumption Table'!$B$83:$D$101,3,FALSE)*E$51</f>
        <v>2412.1981096782033</v>
      </c>
      <c r="F93" s="103">
        <f ca="1">VLOOKUP($A93,'Assumption Table'!$B$83:$D$101,3,FALSE)*F$51</f>
        <v>3237.5846699438466</v>
      </c>
      <c r="G93" s="103">
        <f ca="1">VLOOKUP($A93,'Assumption Table'!$B$83:$D$101,3,FALSE)*G$51</f>
        <v>5548.9555254773986</v>
      </c>
      <c r="H93" s="103">
        <f ca="1">VLOOKUP($A93,'Assumption Table'!$B$83:$D$101,3,FALSE)*H$51</f>
        <v>5344.4407427287379</v>
      </c>
      <c r="I93" s="103">
        <f ca="1">VLOOKUP($A93,'Assumption Table'!$B$83:$D$101,3,FALSE)*I$51</f>
        <v>7470.757642576049</v>
      </c>
      <c r="J93" s="103">
        <f ca="1">VLOOKUP($A93,'Assumption Table'!$B$83:$D$101,3,FALSE)*J$51</f>
        <v>9434.1613998625398</v>
      </c>
      <c r="K93" s="103">
        <f ca="1">VLOOKUP($A93,'Assumption Table'!$B$83:$D$101,3,FALSE)*K$51</f>
        <v>9358.1328833754069</v>
      </c>
      <c r="L93" s="103">
        <f ca="1">VLOOKUP($A93,'Assumption Table'!$B$83:$D$101,3,FALSE)*L$51</f>
        <v>10946.155612615852</v>
      </c>
      <c r="M93" s="103">
        <f ca="1">VLOOKUP($A93,'Assumption Table'!$B$83:$D$101,3,FALSE)*M$51</f>
        <v>7009.041835417348</v>
      </c>
      <c r="N93" s="103">
        <f ca="1">VLOOKUP($A93,'Assumption Table'!$B$83:$D$101,3,FALSE)*N$51</f>
        <v>14772.107835724984</v>
      </c>
      <c r="O93" s="103">
        <f ca="1">VLOOKUP($A93,'Assumption Table'!$B$83:$D$101,3,FALSE)*O$51</f>
        <v>14632.566656307332</v>
      </c>
      <c r="P93" s="103">
        <f ca="1">VLOOKUP($A93,'Assumption Table'!$B$83:$D$101,3,FALSE)*P$51</f>
        <v>18059.223179854172</v>
      </c>
      <c r="Q93" s="103">
        <f ca="1">VLOOKUP($A93,'Assumption Table'!$B$83:$D$101,3,FALSE)*Q$51</f>
        <v>15596.145596047347</v>
      </c>
      <c r="R93" s="103">
        <f ca="1">VLOOKUP($A93,'Assumption Table'!$B$83:$D$101,3,FALSE)*R$51</f>
        <v>17701.526911922541</v>
      </c>
      <c r="S93" s="103">
        <f ca="1">VLOOKUP($A93,'Assumption Table'!$B$83:$D$101,3,FALSE)*S$51</f>
        <v>14597.640182896967</v>
      </c>
      <c r="T93" s="103">
        <f ca="1">VLOOKUP($A93,'Assumption Table'!$B$83:$D$101,3,FALSE)*T$51</f>
        <v>15257.086278595369</v>
      </c>
      <c r="U93" s="103">
        <f ca="1">VLOOKUP($A93,'Assumption Table'!$B$83:$D$101,3,FALSE)*U$51</f>
        <v>14291.678719895017</v>
      </c>
      <c r="V93" s="103">
        <f ca="1">VLOOKUP($A93,'Assumption Table'!$B$83:$D$101,3,FALSE)*V$51</f>
        <v>23173.364713685634</v>
      </c>
      <c r="W93" s="103">
        <f ca="1">VLOOKUP($A93,'Assumption Table'!$B$83:$D$101,3,FALSE)*W$51</f>
        <v>26015.541955767327</v>
      </c>
      <c r="X93" s="103">
        <f ca="1">VLOOKUP($A93,'Assumption Table'!$B$83:$D$101,3,FALSE)*X$51</f>
        <v>24363.065559117193</v>
      </c>
      <c r="Y93" s="103">
        <f ca="1">VLOOKUP($A93,'Assumption Table'!$B$83:$D$101,3,FALSE)*Y$51</f>
        <v>17441.558587550047</v>
      </c>
      <c r="Z93" s="103">
        <f ca="1">VLOOKUP($A93,'Assumption Table'!$B$83:$D$101,3,FALSE)*Z$51</f>
        <v>34465.433331223467</v>
      </c>
      <c r="AA93" s="103">
        <f ca="1">VLOOKUP($A93,'Assumption Table'!$B$83:$D$101,3,FALSE)*AA$51</f>
        <v>26917.732869942007</v>
      </c>
      <c r="AB93" s="103">
        <f ca="1">VLOOKUP($A93,'Assumption Table'!$B$83:$D$101,3,FALSE)*AB$51</f>
        <v>24236.806158463965</v>
      </c>
      <c r="AC93" s="103">
        <f ca="1">VLOOKUP($A93,'Assumption Table'!$B$83:$D$101,3,FALSE)*AC$51</f>
        <v>37245.472844167671</v>
      </c>
      <c r="AD93" s="103">
        <f ca="1">VLOOKUP($A93,'Assumption Table'!$B$83:$D$101,3,FALSE)*AD$51</f>
        <v>23407.573655031549</v>
      </c>
      <c r="AE93" s="103">
        <f ca="1">VLOOKUP($A93,'Assumption Table'!$B$83:$D$101,3,FALSE)*AE$51</f>
        <v>40864.238780737411</v>
      </c>
      <c r="AF93" s="103">
        <f ca="1">VLOOKUP($A93,'Assumption Table'!$B$83:$D$101,3,FALSE)*AF$51</f>
        <v>26567.726198404373</v>
      </c>
      <c r="AG93" s="103">
        <f ca="1">VLOOKUP($A93,'Assumption Table'!$B$83:$D$101,3,FALSE)*AG$51</f>
        <v>17865.071848314183</v>
      </c>
      <c r="AH93" s="103">
        <f ca="1">VLOOKUP($A93,'Assumption Table'!$B$83:$D$101,3,FALSE)*AH$51</f>
        <v>21038.903609398214</v>
      </c>
      <c r="AI93" s="103">
        <f ca="1">VLOOKUP($A93,'Assumption Table'!$B$83:$D$101,3,FALSE)*AI$51</f>
        <v>30126.879896600884</v>
      </c>
      <c r="AJ93" s="103">
        <f ca="1">VLOOKUP($A93,'Assumption Table'!$B$83:$D$101,3,FALSE)*AJ$51</f>
        <v>63395.080061249042</v>
      </c>
      <c r="AK93" s="103">
        <f ca="1">VLOOKUP($A93,'Assumption Table'!$B$83:$D$101,3,FALSE)*AK$51</f>
        <v>32915.230981527966</v>
      </c>
      <c r="AL93" s="103">
        <f ca="1">VLOOKUP($A93,'Assumption Table'!$B$83:$D$101,3,FALSE)*AL$51</f>
        <v>51423.006098273741</v>
      </c>
      <c r="AM93" s="103">
        <f ca="1">VLOOKUP($A93,'Assumption Table'!$B$83:$D$101,3,FALSE)*AM$51</f>
        <v>55923.932540823494</v>
      </c>
      <c r="AN93" s="103">
        <f ca="1">VLOOKUP($A93,'Assumption Table'!$B$83:$D$101,3,FALSE)*AN$51</f>
        <v>44493.875667432076</v>
      </c>
      <c r="AO93" s="103">
        <f ca="1">VLOOKUP($A93,'Assumption Table'!$B$83:$D$101,3,FALSE)*AO$51</f>
        <v>21350.985552878599</v>
      </c>
      <c r="AP93" s="103">
        <f ca="1">VLOOKUP($A93,'Assumption Table'!$B$83:$D$101,3,FALSE)*AP$51</f>
        <v>26428.877055479727</v>
      </c>
      <c r="AQ93" s="103">
        <f ca="1">VLOOKUP($A93,'Assumption Table'!$B$83:$D$101,3,FALSE)*AQ$51</f>
        <v>39312.538788035519</v>
      </c>
      <c r="AR93" s="103">
        <f ca="1">VLOOKUP($A93,'Assumption Table'!$B$83:$D$101,3,FALSE)*AR$51</f>
        <v>24551.722195248851</v>
      </c>
      <c r="AS93" s="103">
        <f ca="1">VLOOKUP($A93,'Assumption Table'!$B$83:$D$101,3,FALSE)*AS$51</f>
        <v>55521.462558639039</v>
      </c>
      <c r="AT93" s="103">
        <f ca="1">VLOOKUP($A93,'Assumption Table'!$B$83:$D$101,3,FALSE)*AT$51</f>
        <v>57093.012269249884</v>
      </c>
      <c r="AU93" s="103">
        <f ca="1">VLOOKUP($A93,'Assumption Table'!$B$83:$D$101,3,FALSE)*AU$51</f>
        <v>51658.87247596684</v>
      </c>
      <c r="AV93" s="103">
        <f ca="1">VLOOKUP($A93,'Assumption Table'!$B$83:$D$101,3,FALSE)*AV$51</f>
        <v>56631.684145235493</v>
      </c>
      <c r="AW93" s="103">
        <f ca="1">VLOOKUP($A93,'Assumption Table'!$B$83:$D$101,3,FALSE)*AW$51</f>
        <v>62591.314171103135</v>
      </c>
      <c r="AX93" s="103">
        <f ca="1">VLOOKUP($A93,'Assumption Table'!$B$83:$D$101,3,FALSE)*AX$51</f>
        <v>56061.222862183611</v>
      </c>
      <c r="AY93" s="103">
        <f ca="1">VLOOKUP($A93,'Assumption Table'!$B$83:$D$101,3,FALSE)*AY$51</f>
        <v>44710.716872617755</v>
      </c>
      <c r="AZ93" s="103">
        <f ca="1">VLOOKUP($A93,'Assumption Table'!$B$83:$D$101,3,FALSE)*AZ$51</f>
        <v>63062.898858020497</v>
      </c>
      <c r="BA93" s="103">
        <f ca="1">VLOOKUP($A93,'Assumption Table'!$B$83:$D$101,3,FALSE)*BA$51</f>
        <v>40544.98631183165</v>
      </c>
      <c r="BB93" s="103">
        <f ca="1">VLOOKUP($A93,'Assumption Table'!$B$83:$D$101,3,FALSE)*BB$51</f>
        <v>55541.809144301864</v>
      </c>
      <c r="BC93" s="103">
        <f ca="1">VLOOKUP($A93,'Assumption Table'!$B$83:$D$101,3,FALSE)*BC$51</f>
        <v>80274.082854134162</v>
      </c>
      <c r="BD93" s="103">
        <f ca="1">VLOOKUP($A93,'Assumption Table'!$B$83:$D$101,3,FALSE)*BD$51</f>
        <v>80329.472082409862</v>
      </c>
      <c r="BE93" s="103">
        <f ca="1">VLOOKUP($A93,'Assumption Table'!$B$83:$D$101,3,FALSE)*BE$51</f>
        <v>106809.03746485423</v>
      </c>
      <c r="BF93" s="103">
        <f ca="1">VLOOKUP($A93,'Assumption Table'!$B$83:$D$101,3,FALSE)*BF$51</f>
        <v>106609.54188043326</v>
      </c>
      <c r="BG93" s="103">
        <f ca="1">VLOOKUP($A93,'Assumption Table'!$B$83:$D$101,3,FALSE)*BG$51</f>
        <v>96170.029708469126</v>
      </c>
      <c r="BH93" s="103">
        <f ca="1">VLOOKUP($A93,'Assumption Table'!$B$83:$D$101,3,FALSE)*BH$51</f>
        <v>56210.586929273428</v>
      </c>
      <c r="BI93" s="104">
        <f ca="1">VLOOKUP($A93,'Assumption Table'!$B$83:$D$101,3,FALSE)*BI$51</f>
        <v>95860.311414486598</v>
      </c>
      <c r="BJ93" s="10" t="str">
        <f t="shared" si="29"/>
        <v>Patents and Trademarks</v>
      </c>
      <c r="BK93" s="115">
        <f ca="1">SUMIFS($B93:$BI93,$B$4:$BI$4,"&lt;=12")</f>
        <v>66866.841800272581</v>
      </c>
      <c r="BL93" s="115">
        <f ca="1">SUMIFS($B93:$BI93,$B$4:$BI$4,"&lt;=24",$B$4:$BI$4,"&gt;12")</f>
        <v>215901.50617736392</v>
      </c>
      <c r="BM93" s="115">
        <f ca="1">SUMIFS($B93:$BI93,$B$4:$BI$4,"&lt;=36",$B$4:$BI$4,"&gt;24")</f>
        <v>379046.15023506072</v>
      </c>
      <c r="BN93" s="115">
        <f ca="1">SUMIFS($B93:$BI93,$B$4:$BI$4,"&lt;=48",$B$4:$BI$4,"&gt;36")</f>
        <v>546981.2835183664</v>
      </c>
      <c r="BO93" s="115">
        <f ca="1">SUMIFS($B93:$BI93,$B$4:$BI$4,"&lt;=60",$B$4:$BI$4,"&gt;48")</f>
        <v>882184.69638301607</v>
      </c>
    </row>
    <row r="94" spans="1:67" ht="13.4" customHeight="1">
      <c r="A94" s="98" t="s">
        <v>96</v>
      </c>
      <c r="B94" s="103">
        <f ca="1">VLOOKUP($A94,'Assumption Table'!$B$83:$D$101,3,FALSE)*B$51</f>
        <v>3641.7126219216316</v>
      </c>
      <c r="C94" s="103">
        <f ca="1">VLOOKUP($A94,'Assumption Table'!$B$83:$D$101,3,FALSE)*C$51</f>
        <v>7037.291086220418</v>
      </c>
      <c r="D94" s="103">
        <f ca="1">VLOOKUP($A94,'Assumption Table'!$B$83:$D$101,3,FALSE)*D$51</f>
        <v>13742.649806246733</v>
      </c>
      <c r="E94" s="103">
        <f ca="1">VLOOKUP($A94,'Assumption Table'!$B$83:$D$101,3,FALSE)*E$51</f>
        <v>9648.7924387128132</v>
      </c>
      <c r="F94" s="103">
        <f ca="1">VLOOKUP($A94,'Assumption Table'!$B$83:$D$101,3,FALSE)*F$51</f>
        <v>12950.338679775386</v>
      </c>
      <c r="G94" s="103">
        <f ca="1">VLOOKUP($A94,'Assumption Table'!$B$83:$D$101,3,FALSE)*G$51</f>
        <v>22195.822101909594</v>
      </c>
      <c r="H94" s="103">
        <f ca="1">VLOOKUP($A94,'Assumption Table'!$B$83:$D$101,3,FALSE)*H$51</f>
        <v>21377.762970914951</v>
      </c>
      <c r="I94" s="103">
        <f ca="1">VLOOKUP($A94,'Assumption Table'!$B$83:$D$101,3,FALSE)*I$51</f>
        <v>29883.030570304196</v>
      </c>
      <c r="J94" s="103">
        <f ca="1">VLOOKUP($A94,'Assumption Table'!$B$83:$D$101,3,FALSE)*J$51</f>
        <v>37736.645599450159</v>
      </c>
      <c r="K94" s="103">
        <f ca="1">VLOOKUP($A94,'Assumption Table'!$B$83:$D$101,3,FALSE)*K$51</f>
        <v>37432.531533501628</v>
      </c>
      <c r="L94" s="103">
        <f ca="1">VLOOKUP($A94,'Assumption Table'!$B$83:$D$101,3,FALSE)*L$51</f>
        <v>43784.622450463408</v>
      </c>
      <c r="M94" s="103">
        <f ca="1">VLOOKUP($A94,'Assumption Table'!$B$83:$D$101,3,FALSE)*M$51</f>
        <v>28036.167341669392</v>
      </c>
      <c r="N94" s="103">
        <f ca="1">VLOOKUP($A94,'Assumption Table'!$B$83:$D$101,3,FALSE)*N$51</f>
        <v>59088.431342899938</v>
      </c>
      <c r="O94" s="103">
        <f ca="1">VLOOKUP($A94,'Assumption Table'!$B$83:$D$101,3,FALSE)*O$51</f>
        <v>58530.266625229327</v>
      </c>
      <c r="P94" s="103">
        <f ca="1">VLOOKUP($A94,'Assumption Table'!$B$83:$D$101,3,FALSE)*P$51</f>
        <v>72236.89271941669</v>
      </c>
      <c r="Q94" s="103">
        <f ca="1">VLOOKUP($A94,'Assumption Table'!$B$83:$D$101,3,FALSE)*Q$51</f>
        <v>62384.582384189387</v>
      </c>
      <c r="R94" s="103">
        <f ca="1">VLOOKUP($A94,'Assumption Table'!$B$83:$D$101,3,FALSE)*R$51</f>
        <v>70806.107647690165</v>
      </c>
      <c r="S94" s="103">
        <f ca="1">VLOOKUP($A94,'Assumption Table'!$B$83:$D$101,3,FALSE)*S$51</f>
        <v>58390.560731587866</v>
      </c>
      <c r="T94" s="103">
        <f ca="1">VLOOKUP($A94,'Assumption Table'!$B$83:$D$101,3,FALSE)*T$51</f>
        <v>61028.345114381475</v>
      </c>
      <c r="U94" s="103">
        <f ca="1">VLOOKUP($A94,'Assumption Table'!$B$83:$D$101,3,FALSE)*U$51</f>
        <v>57166.714879580068</v>
      </c>
      <c r="V94" s="103">
        <f ca="1">VLOOKUP($A94,'Assumption Table'!$B$83:$D$101,3,FALSE)*V$51</f>
        <v>92693.458854742537</v>
      </c>
      <c r="W94" s="103">
        <f ca="1">VLOOKUP($A94,'Assumption Table'!$B$83:$D$101,3,FALSE)*W$51</f>
        <v>104062.16782306931</v>
      </c>
      <c r="X94" s="103">
        <f ca="1">VLOOKUP($A94,'Assumption Table'!$B$83:$D$101,3,FALSE)*X$51</f>
        <v>97452.26223646877</v>
      </c>
      <c r="Y94" s="103">
        <f ca="1">VLOOKUP($A94,'Assumption Table'!$B$83:$D$101,3,FALSE)*Y$51</f>
        <v>69766.23435020019</v>
      </c>
      <c r="Z94" s="103">
        <f ca="1">VLOOKUP($A94,'Assumption Table'!$B$83:$D$101,3,FALSE)*Z$51</f>
        <v>137861.73332489387</v>
      </c>
      <c r="AA94" s="103">
        <f ca="1">VLOOKUP($A94,'Assumption Table'!$B$83:$D$101,3,FALSE)*AA$51</f>
        <v>107670.93147976803</v>
      </c>
      <c r="AB94" s="103">
        <f ca="1">VLOOKUP($A94,'Assumption Table'!$B$83:$D$101,3,FALSE)*AB$51</f>
        <v>96947.224633855862</v>
      </c>
      <c r="AC94" s="103">
        <f ca="1">VLOOKUP($A94,'Assumption Table'!$B$83:$D$101,3,FALSE)*AC$51</f>
        <v>148981.89137667068</v>
      </c>
      <c r="AD94" s="103">
        <f ca="1">VLOOKUP($A94,'Assumption Table'!$B$83:$D$101,3,FALSE)*AD$51</f>
        <v>93630.294620126195</v>
      </c>
      <c r="AE94" s="103">
        <f ca="1">VLOOKUP($A94,'Assumption Table'!$B$83:$D$101,3,FALSE)*AE$51</f>
        <v>163456.95512294964</v>
      </c>
      <c r="AF94" s="103">
        <f ca="1">VLOOKUP($A94,'Assumption Table'!$B$83:$D$101,3,FALSE)*AF$51</f>
        <v>106270.90479361749</v>
      </c>
      <c r="AG94" s="103">
        <f ca="1">VLOOKUP($A94,'Assumption Table'!$B$83:$D$101,3,FALSE)*AG$51</f>
        <v>71460.287393256731</v>
      </c>
      <c r="AH94" s="103">
        <f ca="1">VLOOKUP($A94,'Assumption Table'!$B$83:$D$101,3,FALSE)*AH$51</f>
        <v>84155.614437592856</v>
      </c>
      <c r="AI94" s="103">
        <f ca="1">VLOOKUP($A94,'Assumption Table'!$B$83:$D$101,3,FALSE)*AI$51</f>
        <v>120507.51958640353</v>
      </c>
      <c r="AJ94" s="103">
        <f ca="1">VLOOKUP($A94,'Assumption Table'!$B$83:$D$101,3,FALSE)*AJ$51</f>
        <v>253580.32024499617</v>
      </c>
      <c r="AK94" s="103">
        <f ca="1">VLOOKUP($A94,'Assumption Table'!$B$83:$D$101,3,FALSE)*AK$51</f>
        <v>131660.92392611186</v>
      </c>
      <c r="AL94" s="103">
        <f ca="1">VLOOKUP($A94,'Assumption Table'!$B$83:$D$101,3,FALSE)*AL$51</f>
        <v>205692.02439309497</v>
      </c>
      <c r="AM94" s="103">
        <f ca="1">VLOOKUP($A94,'Assumption Table'!$B$83:$D$101,3,FALSE)*AM$51</f>
        <v>223695.73016329398</v>
      </c>
      <c r="AN94" s="103">
        <f ca="1">VLOOKUP($A94,'Assumption Table'!$B$83:$D$101,3,FALSE)*AN$51</f>
        <v>177975.5026697283</v>
      </c>
      <c r="AO94" s="103">
        <f ca="1">VLOOKUP($A94,'Assumption Table'!$B$83:$D$101,3,FALSE)*AO$51</f>
        <v>85403.942211514397</v>
      </c>
      <c r="AP94" s="103">
        <f ca="1">VLOOKUP($A94,'Assumption Table'!$B$83:$D$101,3,FALSE)*AP$51</f>
        <v>105715.50822191891</v>
      </c>
      <c r="AQ94" s="103">
        <f ca="1">VLOOKUP($A94,'Assumption Table'!$B$83:$D$101,3,FALSE)*AQ$51</f>
        <v>157250.15515214208</v>
      </c>
      <c r="AR94" s="103">
        <f ca="1">VLOOKUP($A94,'Assumption Table'!$B$83:$D$101,3,FALSE)*AR$51</f>
        <v>98206.888780995403</v>
      </c>
      <c r="AS94" s="103">
        <f ca="1">VLOOKUP($A94,'Assumption Table'!$B$83:$D$101,3,FALSE)*AS$51</f>
        <v>222085.85023455616</v>
      </c>
      <c r="AT94" s="103">
        <f ca="1">VLOOKUP($A94,'Assumption Table'!$B$83:$D$101,3,FALSE)*AT$51</f>
        <v>228372.04907699954</v>
      </c>
      <c r="AU94" s="103">
        <f ca="1">VLOOKUP($A94,'Assumption Table'!$B$83:$D$101,3,FALSE)*AU$51</f>
        <v>206635.48990386736</v>
      </c>
      <c r="AV94" s="103">
        <f ca="1">VLOOKUP($A94,'Assumption Table'!$B$83:$D$101,3,FALSE)*AV$51</f>
        <v>226526.73658094197</v>
      </c>
      <c r="AW94" s="103">
        <f ca="1">VLOOKUP($A94,'Assumption Table'!$B$83:$D$101,3,FALSE)*AW$51</f>
        <v>250365.25668441254</v>
      </c>
      <c r="AX94" s="103">
        <f ca="1">VLOOKUP($A94,'Assumption Table'!$B$83:$D$101,3,FALSE)*AX$51</f>
        <v>224244.89144873444</v>
      </c>
      <c r="AY94" s="103">
        <f ca="1">VLOOKUP($A94,'Assumption Table'!$B$83:$D$101,3,FALSE)*AY$51</f>
        <v>178842.86749047102</v>
      </c>
      <c r="AZ94" s="103">
        <f ca="1">VLOOKUP($A94,'Assumption Table'!$B$83:$D$101,3,FALSE)*AZ$51</f>
        <v>252251.59543208199</v>
      </c>
      <c r="BA94" s="103">
        <f ca="1">VLOOKUP($A94,'Assumption Table'!$B$83:$D$101,3,FALSE)*BA$51</f>
        <v>162179.9452473266</v>
      </c>
      <c r="BB94" s="103">
        <f ca="1">VLOOKUP($A94,'Assumption Table'!$B$83:$D$101,3,FALSE)*BB$51</f>
        <v>222167.23657720746</v>
      </c>
      <c r="BC94" s="103">
        <f ca="1">VLOOKUP($A94,'Assumption Table'!$B$83:$D$101,3,FALSE)*BC$51</f>
        <v>321096.33141653665</v>
      </c>
      <c r="BD94" s="103">
        <f ca="1">VLOOKUP($A94,'Assumption Table'!$B$83:$D$101,3,FALSE)*BD$51</f>
        <v>321317.88832963945</v>
      </c>
      <c r="BE94" s="103">
        <f ca="1">VLOOKUP($A94,'Assumption Table'!$B$83:$D$101,3,FALSE)*BE$51</f>
        <v>427236.14985941694</v>
      </c>
      <c r="BF94" s="103">
        <f ca="1">VLOOKUP($A94,'Assumption Table'!$B$83:$D$101,3,FALSE)*BF$51</f>
        <v>426438.16752173303</v>
      </c>
      <c r="BG94" s="103">
        <f ca="1">VLOOKUP($A94,'Assumption Table'!$B$83:$D$101,3,FALSE)*BG$51</f>
        <v>384680.11883387651</v>
      </c>
      <c r="BH94" s="103">
        <f ca="1">VLOOKUP($A94,'Assumption Table'!$B$83:$D$101,3,FALSE)*BH$51</f>
        <v>224842.34771709371</v>
      </c>
      <c r="BI94" s="104">
        <f ca="1">VLOOKUP($A94,'Assumption Table'!$B$83:$D$101,3,FALSE)*BI$51</f>
        <v>383441.24565794639</v>
      </c>
      <c r="BJ94" s="10" t="str">
        <f t="shared" si="29"/>
        <v>Proprietary Technology</v>
      </c>
      <c r="BK94" s="115">
        <f ca="1">SUMIFS($B94:$BI94,$B$4:$BI$4,"&lt;=12")</f>
        <v>267467.36720109032</v>
      </c>
      <c r="BL94" s="115">
        <f ca="1">SUMIFS($B94:$BI94,$B$4:$BI$4,"&lt;=24",$B$4:$BI$4,"&gt;12")</f>
        <v>863606.02470945567</v>
      </c>
      <c r="BM94" s="115">
        <f ca="1">SUMIFS($B94:$BI94,$B$4:$BI$4,"&lt;=36",$B$4:$BI$4,"&gt;24")</f>
        <v>1516184.6009402429</v>
      </c>
      <c r="BN94" s="115">
        <f ca="1">SUMIFS($B94:$BI94,$B$4:$BI$4,"&lt;=48",$B$4:$BI$4,"&gt;36")</f>
        <v>2187925.1340734656</v>
      </c>
      <c r="BO94" s="115">
        <f ca="1">SUMIFS($B94:$BI94,$B$4:$BI$4,"&lt;=60",$B$4:$BI$4,"&gt;48")</f>
        <v>3528738.7855320643</v>
      </c>
    </row>
    <row r="95" spans="1:67" ht="13.4" customHeight="1">
      <c r="A95" s="5" t="s">
        <v>97</v>
      </c>
      <c r="B95" s="4"/>
      <c r="C95" s="6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3"/>
      <c r="BJ95" s="8" t="str">
        <f t="shared" si="29"/>
        <v>Cloud Services</v>
      </c>
      <c r="BK95" s="6"/>
      <c r="BL95" s="6"/>
      <c r="BM95" s="6"/>
      <c r="BN95" s="6"/>
      <c r="BO95" s="6"/>
    </row>
    <row r="96" spans="1:67" ht="13.4" customHeight="1">
      <c r="A96" s="98" t="s">
        <v>98</v>
      </c>
      <c r="B96" s="103">
        <f ca="1">VLOOKUP($A96,'Assumption Table'!$B$83:$D$101,3,FALSE)*B$51</f>
        <v>5462.5689328824474</v>
      </c>
      <c r="C96" s="103">
        <f ca="1">VLOOKUP($A96,'Assumption Table'!$B$83:$D$101,3,FALSE)*C$51</f>
        <v>10555.936629330627</v>
      </c>
      <c r="D96" s="103">
        <f ca="1">VLOOKUP($A96,'Assumption Table'!$B$83:$D$101,3,FALSE)*D$51</f>
        <v>20613.974709370097</v>
      </c>
      <c r="E96" s="103">
        <f ca="1">VLOOKUP($A96,'Assumption Table'!$B$83:$D$101,3,FALSE)*E$51</f>
        <v>14473.188658069219</v>
      </c>
      <c r="F96" s="103">
        <f ca="1">VLOOKUP($A96,'Assumption Table'!$B$83:$D$101,3,FALSE)*F$51</f>
        <v>19425.508019663077</v>
      </c>
      <c r="G96" s="103">
        <f ca="1">VLOOKUP($A96,'Assumption Table'!$B$83:$D$101,3,FALSE)*G$51</f>
        <v>33293.733152864384</v>
      </c>
      <c r="H96" s="103">
        <f ca="1">VLOOKUP($A96,'Assumption Table'!$B$83:$D$101,3,FALSE)*H$51</f>
        <v>32066.644456372429</v>
      </c>
      <c r="I96" s="103">
        <f ca="1">VLOOKUP($A96,'Assumption Table'!$B$83:$D$101,3,FALSE)*I$51</f>
        <v>44824.545855456287</v>
      </c>
      <c r="J96" s="103">
        <f ca="1">VLOOKUP($A96,'Assumption Table'!$B$83:$D$101,3,FALSE)*J$51</f>
        <v>56604.968399175239</v>
      </c>
      <c r="K96" s="103">
        <f ca="1">VLOOKUP($A96,'Assumption Table'!$B$83:$D$101,3,FALSE)*K$51</f>
        <v>56148.797300252438</v>
      </c>
      <c r="L96" s="103">
        <f ca="1">VLOOKUP($A96,'Assumption Table'!$B$83:$D$101,3,FALSE)*L$51</f>
        <v>65676.933675695109</v>
      </c>
      <c r="M96" s="103">
        <f ca="1">VLOOKUP($A96,'Assumption Table'!$B$83:$D$101,3,FALSE)*M$51</f>
        <v>42054.251012504086</v>
      </c>
      <c r="N96" s="103">
        <f ca="1">VLOOKUP($A96,'Assumption Table'!$B$83:$D$101,3,FALSE)*N$51</f>
        <v>88632.647014349903</v>
      </c>
      <c r="O96" s="103">
        <f ca="1">VLOOKUP($A96,'Assumption Table'!$B$83:$D$101,3,FALSE)*O$51</f>
        <v>87795.399937843991</v>
      </c>
      <c r="P96" s="103">
        <f ca="1">VLOOKUP($A96,'Assumption Table'!$B$83:$D$101,3,FALSE)*P$51</f>
        <v>108355.33907912504</v>
      </c>
      <c r="Q96" s="103">
        <f ca="1">VLOOKUP($A96,'Assumption Table'!$B$83:$D$101,3,FALSE)*Q$51</f>
        <v>93576.873576284081</v>
      </c>
      <c r="R96" s="103">
        <f ca="1">VLOOKUP($A96,'Assumption Table'!$B$83:$D$101,3,FALSE)*R$51</f>
        <v>106209.16147153523</v>
      </c>
      <c r="S96" s="103">
        <f ca="1">VLOOKUP($A96,'Assumption Table'!$B$83:$D$101,3,FALSE)*S$51</f>
        <v>87585.841097381795</v>
      </c>
      <c r="T96" s="103">
        <f ca="1">VLOOKUP($A96,'Assumption Table'!$B$83:$D$101,3,FALSE)*T$51</f>
        <v>91542.517671572205</v>
      </c>
      <c r="U96" s="103">
        <f ca="1">VLOOKUP($A96,'Assumption Table'!$B$83:$D$101,3,FALSE)*U$51</f>
        <v>85750.072319370098</v>
      </c>
      <c r="V96" s="103">
        <f ca="1">VLOOKUP($A96,'Assumption Table'!$B$83:$D$101,3,FALSE)*V$51</f>
        <v>139040.18828211378</v>
      </c>
      <c r="W96" s="103">
        <f ca="1">VLOOKUP($A96,'Assumption Table'!$B$83:$D$101,3,FALSE)*W$51</f>
        <v>156093.25173460395</v>
      </c>
      <c r="X96" s="103">
        <f ca="1">VLOOKUP($A96,'Assumption Table'!$B$83:$D$101,3,FALSE)*X$51</f>
        <v>146178.39335470315</v>
      </c>
      <c r="Y96" s="103">
        <f ca="1">VLOOKUP($A96,'Assumption Table'!$B$83:$D$101,3,FALSE)*Y$51</f>
        <v>104649.35152530027</v>
      </c>
      <c r="Z96" s="103">
        <f ca="1">VLOOKUP($A96,'Assumption Table'!$B$83:$D$101,3,FALSE)*Z$51</f>
        <v>206792.59998734077</v>
      </c>
      <c r="AA96" s="103">
        <f ca="1">VLOOKUP($A96,'Assumption Table'!$B$83:$D$101,3,FALSE)*AA$51</f>
        <v>161506.39721965205</v>
      </c>
      <c r="AB96" s="103">
        <f ca="1">VLOOKUP($A96,'Assumption Table'!$B$83:$D$101,3,FALSE)*AB$51</f>
        <v>145420.83695078379</v>
      </c>
      <c r="AC96" s="103">
        <f ca="1">VLOOKUP($A96,'Assumption Table'!$B$83:$D$101,3,FALSE)*AC$51</f>
        <v>223472.83706500602</v>
      </c>
      <c r="AD96" s="103">
        <f ca="1">VLOOKUP($A96,'Assumption Table'!$B$83:$D$101,3,FALSE)*AD$51</f>
        <v>140445.44193018926</v>
      </c>
      <c r="AE96" s="103">
        <f ca="1">VLOOKUP($A96,'Assumption Table'!$B$83:$D$101,3,FALSE)*AE$51</f>
        <v>245185.43268442445</v>
      </c>
      <c r="AF96" s="103">
        <f ca="1">VLOOKUP($A96,'Assumption Table'!$B$83:$D$101,3,FALSE)*AF$51</f>
        <v>159406.35719042621</v>
      </c>
      <c r="AG96" s="103">
        <f ca="1">VLOOKUP($A96,'Assumption Table'!$B$83:$D$101,3,FALSE)*AG$51</f>
        <v>107190.4310898851</v>
      </c>
      <c r="AH96" s="103">
        <f ca="1">VLOOKUP($A96,'Assumption Table'!$B$83:$D$101,3,FALSE)*AH$51</f>
        <v>126233.42165638927</v>
      </c>
      <c r="AI96" s="103">
        <f ca="1">VLOOKUP($A96,'Assumption Table'!$B$83:$D$101,3,FALSE)*AI$51</f>
        <v>180761.27937960529</v>
      </c>
      <c r="AJ96" s="103">
        <f ca="1">VLOOKUP($A96,'Assumption Table'!$B$83:$D$101,3,FALSE)*AJ$51</f>
        <v>380370.48036749422</v>
      </c>
      <c r="AK96" s="103">
        <f ca="1">VLOOKUP($A96,'Assumption Table'!$B$83:$D$101,3,FALSE)*AK$51</f>
        <v>197491.38588916781</v>
      </c>
      <c r="AL96" s="103">
        <f ca="1">VLOOKUP($A96,'Assumption Table'!$B$83:$D$101,3,FALSE)*AL$51</f>
        <v>308538.03658964246</v>
      </c>
      <c r="AM96" s="103">
        <f ca="1">VLOOKUP($A96,'Assumption Table'!$B$83:$D$101,3,FALSE)*AM$51</f>
        <v>335543.59524494095</v>
      </c>
      <c r="AN96" s="103">
        <f ca="1">VLOOKUP($A96,'Assumption Table'!$B$83:$D$101,3,FALSE)*AN$51</f>
        <v>266963.25400459243</v>
      </c>
      <c r="AO96" s="103">
        <f ca="1">VLOOKUP($A96,'Assumption Table'!$B$83:$D$101,3,FALSE)*AO$51</f>
        <v>128105.91331727158</v>
      </c>
      <c r="AP96" s="103">
        <f ca="1">VLOOKUP($A96,'Assumption Table'!$B$83:$D$101,3,FALSE)*AP$51</f>
        <v>158573.26233287834</v>
      </c>
      <c r="AQ96" s="103">
        <f ca="1">VLOOKUP($A96,'Assumption Table'!$B$83:$D$101,3,FALSE)*AQ$51</f>
        <v>235875.23272821313</v>
      </c>
      <c r="AR96" s="103">
        <f ca="1">VLOOKUP($A96,'Assumption Table'!$B$83:$D$101,3,FALSE)*AR$51</f>
        <v>147310.33317149311</v>
      </c>
      <c r="AS96" s="103">
        <f ca="1">VLOOKUP($A96,'Assumption Table'!$B$83:$D$101,3,FALSE)*AS$51</f>
        <v>333128.77535183425</v>
      </c>
      <c r="AT96" s="103">
        <f ca="1">VLOOKUP($A96,'Assumption Table'!$B$83:$D$101,3,FALSE)*AT$51</f>
        <v>342558.07361549931</v>
      </c>
      <c r="AU96" s="103">
        <f ca="1">VLOOKUP($A96,'Assumption Table'!$B$83:$D$101,3,FALSE)*AU$51</f>
        <v>309953.23485580104</v>
      </c>
      <c r="AV96" s="103">
        <f ca="1">VLOOKUP($A96,'Assumption Table'!$B$83:$D$101,3,FALSE)*AV$51</f>
        <v>339790.10487141297</v>
      </c>
      <c r="AW96" s="103">
        <f ca="1">VLOOKUP($A96,'Assumption Table'!$B$83:$D$101,3,FALSE)*AW$51</f>
        <v>375547.88502661878</v>
      </c>
      <c r="AX96" s="103">
        <f ca="1">VLOOKUP($A96,'Assumption Table'!$B$83:$D$101,3,FALSE)*AX$51</f>
        <v>336367.33717310167</v>
      </c>
      <c r="AY96" s="103">
        <f ca="1">VLOOKUP($A96,'Assumption Table'!$B$83:$D$101,3,FALSE)*AY$51</f>
        <v>268264.30123570649</v>
      </c>
      <c r="AZ96" s="103">
        <f ca="1">VLOOKUP($A96,'Assumption Table'!$B$83:$D$101,3,FALSE)*AZ$51</f>
        <v>378377.39314812294</v>
      </c>
      <c r="BA96" s="103">
        <f ca="1">VLOOKUP($A96,'Assumption Table'!$B$83:$D$101,3,FALSE)*BA$51</f>
        <v>243269.91787098988</v>
      </c>
      <c r="BB96" s="103">
        <f ca="1">VLOOKUP($A96,'Assumption Table'!$B$83:$D$101,3,FALSE)*BB$51</f>
        <v>333250.85486581118</v>
      </c>
      <c r="BC96" s="103">
        <f ca="1">VLOOKUP($A96,'Assumption Table'!$B$83:$D$101,3,FALSE)*BC$51</f>
        <v>481644.49712480494</v>
      </c>
      <c r="BD96" s="103">
        <f ca="1">VLOOKUP($A96,'Assumption Table'!$B$83:$D$101,3,FALSE)*BD$51</f>
        <v>481976.83249445911</v>
      </c>
      <c r="BE96" s="103">
        <f ca="1">VLOOKUP($A96,'Assumption Table'!$B$83:$D$101,3,FALSE)*BE$51</f>
        <v>640854.22478912538</v>
      </c>
      <c r="BF96" s="103">
        <f ca="1">VLOOKUP($A96,'Assumption Table'!$B$83:$D$101,3,FALSE)*BF$51</f>
        <v>639657.25128259952</v>
      </c>
      <c r="BG96" s="103">
        <f ca="1">VLOOKUP($A96,'Assumption Table'!$B$83:$D$101,3,FALSE)*BG$51</f>
        <v>577020.17825081467</v>
      </c>
      <c r="BH96" s="103">
        <f ca="1">VLOOKUP($A96,'Assumption Table'!$B$83:$D$101,3,FALSE)*BH$51</f>
        <v>337263.52157564054</v>
      </c>
      <c r="BI96" s="104">
        <f ca="1">VLOOKUP($A96,'Assumption Table'!$B$83:$D$101,3,FALSE)*BI$51</f>
        <v>575161.86848691956</v>
      </c>
      <c r="BJ96" s="10" t="str">
        <f t="shared" si="29"/>
        <v>Long-term Cloud Contracts</v>
      </c>
      <c r="BK96" s="115">
        <f ca="1">SUMIFS($B96:$BI96,$B$4:$BI$4,"&lt;=12")</f>
        <v>401201.05080163543</v>
      </c>
      <c r="BL96" s="115">
        <f ca="1">SUMIFS($B96:$BI96,$B$4:$BI$4,"&lt;=24",$B$4:$BI$4,"&gt;12")</f>
        <v>1295409.0370641835</v>
      </c>
      <c r="BM96" s="115">
        <f ca="1">SUMIFS($B96:$BI96,$B$4:$BI$4,"&lt;=36",$B$4:$BI$4,"&gt;24")</f>
        <v>2274276.9014103641</v>
      </c>
      <c r="BN96" s="115">
        <f ca="1">SUMIFS($B96:$BI96,$B$4:$BI$4,"&lt;=48",$B$4:$BI$4,"&gt;36")</f>
        <v>3281887.7011101982</v>
      </c>
      <c r="BO96" s="115">
        <f ca="1">SUMIFS($B96:$BI96,$B$4:$BI$4,"&lt;=60",$B$4:$BI$4,"&gt;48")</f>
        <v>5293108.1782980962</v>
      </c>
    </row>
    <row r="97" spans="1:67" ht="13.4" customHeight="1">
      <c r="A97" s="5" t="s">
        <v>99</v>
      </c>
      <c r="B97" s="4"/>
      <c r="C97" s="6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13"/>
      <c r="BJ97" s="8" t="str">
        <f t="shared" si="29"/>
        <v>Security</v>
      </c>
      <c r="BK97" s="6"/>
      <c r="BL97" s="6"/>
      <c r="BM97" s="6"/>
      <c r="BN97" s="6"/>
      <c r="BO97" s="6"/>
    </row>
    <row r="98" spans="1:67" ht="13.4" customHeight="1">
      <c r="A98" s="98" t="s">
        <v>100</v>
      </c>
      <c r="B98" s="103">
        <f ca="1">VLOOKUP($A98,'Assumption Table'!$B$83:$D$101,3,FALSE)*B$51</f>
        <v>3641.7126219216316</v>
      </c>
      <c r="C98" s="103">
        <f ca="1">VLOOKUP($A98,'Assumption Table'!$B$83:$D$101,3,FALSE)*C$51</f>
        <v>7037.291086220418</v>
      </c>
      <c r="D98" s="103">
        <f ca="1">VLOOKUP($A98,'Assumption Table'!$B$83:$D$101,3,FALSE)*D$51</f>
        <v>13742.649806246733</v>
      </c>
      <c r="E98" s="103">
        <f ca="1">VLOOKUP($A98,'Assumption Table'!$B$83:$D$101,3,FALSE)*E$51</f>
        <v>9648.7924387128132</v>
      </c>
      <c r="F98" s="103">
        <f ca="1">VLOOKUP($A98,'Assumption Table'!$B$83:$D$101,3,FALSE)*F$51</f>
        <v>12950.338679775386</v>
      </c>
      <c r="G98" s="103">
        <f ca="1">VLOOKUP($A98,'Assumption Table'!$B$83:$D$101,3,FALSE)*G$51</f>
        <v>22195.822101909594</v>
      </c>
      <c r="H98" s="103">
        <f ca="1">VLOOKUP($A98,'Assumption Table'!$B$83:$D$101,3,FALSE)*H$51</f>
        <v>21377.762970914951</v>
      </c>
      <c r="I98" s="103">
        <f ca="1">VLOOKUP($A98,'Assumption Table'!$B$83:$D$101,3,FALSE)*I$51</f>
        <v>29883.030570304196</v>
      </c>
      <c r="J98" s="103">
        <f ca="1">VLOOKUP($A98,'Assumption Table'!$B$83:$D$101,3,FALSE)*J$51</f>
        <v>37736.645599450159</v>
      </c>
      <c r="K98" s="103">
        <f ca="1">VLOOKUP($A98,'Assumption Table'!$B$83:$D$101,3,FALSE)*K$51</f>
        <v>37432.531533501628</v>
      </c>
      <c r="L98" s="103">
        <f ca="1">VLOOKUP($A98,'Assumption Table'!$B$83:$D$101,3,FALSE)*L$51</f>
        <v>43784.622450463408</v>
      </c>
      <c r="M98" s="103">
        <f ca="1">VLOOKUP($A98,'Assumption Table'!$B$83:$D$101,3,FALSE)*M$51</f>
        <v>28036.167341669392</v>
      </c>
      <c r="N98" s="103">
        <f ca="1">VLOOKUP($A98,'Assumption Table'!$B$83:$D$101,3,FALSE)*N$51</f>
        <v>59088.431342899938</v>
      </c>
      <c r="O98" s="103">
        <f ca="1">VLOOKUP($A98,'Assumption Table'!$B$83:$D$101,3,FALSE)*O$51</f>
        <v>58530.266625229327</v>
      </c>
      <c r="P98" s="103">
        <f ca="1">VLOOKUP($A98,'Assumption Table'!$B$83:$D$101,3,FALSE)*P$51</f>
        <v>72236.89271941669</v>
      </c>
      <c r="Q98" s="103">
        <f ca="1">VLOOKUP($A98,'Assumption Table'!$B$83:$D$101,3,FALSE)*Q$51</f>
        <v>62384.582384189387</v>
      </c>
      <c r="R98" s="103">
        <f ca="1">VLOOKUP($A98,'Assumption Table'!$B$83:$D$101,3,FALSE)*R$51</f>
        <v>70806.107647690165</v>
      </c>
      <c r="S98" s="103">
        <f ca="1">VLOOKUP($A98,'Assumption Table'!$B$83:$D$101,3,FALSE)*S$51</f>
        <v>58390.560731587866</v>
      </c>
      <c r="T98" s="103">
        <f ca="1">VLOOKUP($A98,'Assumption Table'!$B$83:$D$101,3,FALSE)*T$51</f>
        <v>61028.345114381475</v>
      </c>
      <c r="U98" s="103">
        <f ca="1">VLOOKUP($A98,'Assumption Table'!$B$83:$D$101,3,FALSE)*U$51</f>
        <v>57166.714879580068</v>
      </c>
      <c r="V98" s="103">
        <f ca="1">VLOOKUP($A98,'Assumption Table'!$B$83:$D$101,3,FALSE)*V$51</f>
        <v>92693.458854742537</v>
      </c>
      <c r="W98" s="103">
        <f ca="1">VLOOKUP($A98,'Assumption Table'!$B$83:$D$101,3,FALSE)*W$51</f>
        <v>104062.16782306931</v>
      </c>
      <c r="X98" s="103">
        <f ca="1">VLOOKUP($A98,'Assumption Table'!$B$83:$D$101,3,FALSE)*X$51</f>
        <v>97452.26223646877</v>
      </c>
      <c r="Y98" s="103">
        <f ca="1">VLOOKUP($A98,'Assumption Table'!$B$83:$D$101,3,FALSE)*Y$51</f>
        <v>69766.23435020019</v>
      </c>
      <c r="Z98" s="103">
        <f ca="1">VLOOKUP($A98,'Assumption Table'!$B$83:$D$101,3,FALSE)*Z$51</f>
        <v>137861.73332489387</v>
      </c>
      <c r="AA98" s="103">
        <f ca="1">VLOOKUP($A98,'Assumption Table'!$B$83:$D$101,3,FALSE)*AA$51</f>
        <v>107670.93147976803</v>
      </c>
      <c r="AB98" s="103">
        <f ca="1">VLOOKUP($A98,'Assumption Table'!$B$83:$D$101,3,FALSE)*AB$51</f>
        <v>96947.224633855862</v>
      </c>
      <c r="AC98" s="103">
        <f ca="1">VLOOKUP($A98,'Assumption Table'!$B$83:$D$101,3,FALSE)*AC$51</f>
        <v>148981.89137667068</v>
      </c>
      <c r="AD98" s="103">
        <f ca="1">VLOOKUP($A98,'Assumption Table'!$B$83:$D$101,3,FALSE)*AD$51</f>
        <v>93630.294620126195</v>
      </c>
      <c r="AE98" s="103">
        <f ca="1">VLOOKUP($A98,'Assumption Table'!$B$83:$D$101,3,FALSE)*AE$51</f>
        <v>163456.95512294964</v>
      </c>
      <c r="AF98" s="103">
        <f ca="1">VLOOKUP($A98,'Assumption Table'!$B$83:$D$101,3,FALSE)*AF$51</f>
        <v>106270.90479361749</v>
      </c>
      <c r="AG98" s="103">
        <f ca="1">VLOOKUP($A98,'Assumption Table'!$B$83:$D$101,3,FALSE)*AG$51</f>
        <v>71460.287393256731</v>
      </c>
      <c r="AH98" s="103">
        <f ca="1">VLOOKUP($A98,'Assumption Table'!$B$83:$D$101,3,FALSE)*AH$51</f>
        <v>84155.614437592856</v>
      </c>
      <c r="AI98" s="103">
        <f ca="1">VLOOKUP($A98,'Assumption Table'!$B$83:$D$101,3,FALSE)*AI$51</f>
        <v>120507.51958640353</v>
      </c>
      <c r="AJ98" s="103">
        <f ca="1">VLOOKUP($A98,'Assumption Table'!$B$83:$D$101,3,FALSE)*AJ$51</f>
        <v>253580.32024499617</v>
      </c>
      <c r="AK98" s="103">
        <f ca="1">VLOOKUP($A98,'Assumption Table'!$B$83:$D$101,3,FALSE)*AK$51</f>
        <v>131660.92392611186</v>
      </c>
      <c r="AL98" s="103">
        <f ca="1">VLOOKUP($A98,'Assumption Table'!$B$83:$D$101,3,FALSE)*AL$51</f>
        <v>205692.02439309497</v>
      </c>
      <c r="AM98" s="103">
        <f ca="1">VLOOKUP($A98,'Assumption Table'!$B$83:$D$101,3,FALSE)*AM$51</f>
        <v>223695.73016329398</v>
      </c>
      <c r="AN98" s="103">
        <f ca="1">VLOOKUP($A98,'Assumption Table'!$B$83:$D$101,3,FALSE)*AN$51</f>
        <v>177975.5026697283</v>
      </c>
      <c r="AO98" s="103">
        <f ca="1">VLOOKUP($A98,'Assumption Table'!$B$83:$D$101,3,FALSE)*AO$51</f>
        <v>85403.942211514397</v>
      </c>
      <c r="AP98" s="103">
        <f ca="1">VLOOKUP($A98,'Assumption Table'!$B$83:$D$101,3,FALSE)*AP$51</f>
        <v>105715.50822191891</v>
      </c>
      <c r="AQ98" s="103">
        <f ca="1">VLOOKUP($A98,'Assumption Table'!$B$83:$D$101,3,FALSE)*AQ$51</f>
        <v>157250.15515214208</v>
      </c>
      <c r="AR98" s="103">
        <f ca="1">VLOOKUP($A98,'Assumption Table'!$B$83:$D$101,3,FALSE)*AR$51</f>
        <v>98206.888780995403</v>
      </c>
      <c r="AS98" s="103">
        <f ca="1">VLOOKUP($A98,'Assumption Table'!$B$83:$D$101,3,FALSE)*AS$51</f>
        <v>222085.85023455616</v>
      </c>
      <c r="AT98" s="103">
        <f ca="1">VLOOKUP($A98,'Assumption Table'!$B$83:$D$101,3,FALSE)*AT$51</f>
        <v>228372.04907699954</v>
      </c>
      <c r="AU98" s="103">
        <f ca="1">VLOOKUP($A98,'Assumption Table'!$B$83:$D$101,3,FALSE)*AU$51</f>
        <v>206635.48990386736</v>
      </c>
      <c r="AV98" s="103">
        <f ca="1">VLOOKUP($A98,'Assumption Table'!$B$83:$D$101,3,FALSE)*AV$51</f>
        <v>226526.73658094197</v>
      </c>
      <c r="AW98" s="103">
        <f ca="1">VLOOKUP($A98,'Assumption Table'!$B$83:$D$101,3,FALSE)*AW$51</f>
        <v>250365.25668441254</v>
      </c>
      <c r="AX98" s="103">
        <f ca="1">VLOOKUP($A98,'Assumption Table'!$B$83:$D$101,3,FALSE)*AX$51</f>
        <v>224244.89144873444</v>
      </c>
      <c r="AY98" s="103">
        <f ca="1">VLOOKUP($A98,'Assumption Table'!$B$83:$D$101,3,FALSE)*AY$51</f>
        <v>178842.86749047102</v>
      </c>
      <c r="AZ98" s="103">
        <f ca="1">VLOOKUP($A98,'Assumption Table'!$B$83:$D$101,3,FALSE)*AZ$51</f>
        <v>252251.59543208199</v>
      </c>
      <c r="BA98" s="103">
        <f ca="1">VLOOKUP($A98,'Assumption Table'!$B$83:$D$101,3,FALSE)*BA$51</f>
        <v>162179.9452473266</v>
      </c>
      <c r="BB98" s="103">
        <f ca="1">VLOOKUP($A98,'Assumption Table'!$B$83:$D$101,3,FALSE)*BB$51</f>
        <v>222167.23657720746</v>
      </c>
      <c r="BC98" s="103">
        <f ca="1">VLOOKUP($A98,'Assumption Table'!$B$83:$D$101,3,FALSE)*BC$51</f>
        <v>321096.33141653665</v>
      </c>
      <c r="BD98" s="103">
        <f ca="1">VLOOKUP($A98,'Assumption Table'!$B$83:$D$101,3,FALSE)*BD$51</f>
        <v>321317.88832963945</v>
      </c>
      <c r="BE98" s="103">
        <f ca="1">VLOOKUP($A98,'Assumption Table'!$B$83:$D$101,3,FALSE)*BE$51</f>
        <v>427236.14985941694</v>
      </c>
      <c r="BF98" s="103">
        <f ca="1">VLOOKUP($A98,'Assumption Table'!$B$83:$D$101,3,FALSE)*BF$51</f>
        <v>426438.16752173303</v>
      </c>
      <c r="BG98" s="103">
        <f ca="1">VLOOKUP($A98,'Assumption Table'!$B$83:$D$101,3,FALSE)*BG$51</f>
        <v>384680.11883387651</v>
      </c>
      <c r="BH98" s="103">
        <f ca="1">VLOOKUP($A98,'Assumption Table'!$B$83:$D$101,3,FALSE)*BH$51</f>
        <v>224842.34771709371</v>
      </c>
      <c r="BI98" s="104">
        <f ca="1">VLOOKUP($A98,'Assumption Table'!$B$83:$D$101,3,FALSE)*BI$51</f>
        <v>383441.24565794639</v>
      </c>
      <c r="BJ98" s="10" t="str">
        <f t="shared" si="29"/>
        <v>Cybersecurity Infrastructure</v>
      </c>
      <c r="BK98" s="115">
        <f ca="1">SUMIFS($B98:$BI98,$B$4:$BI$4,"&lt;=12")</f>
        <v>267467.36720109032</v>
      </c>
      <c r="BL98" s="115">
        <f ca="1">SUMIFS($B98:$BI98,$B$4:$BI$4,"&lt;=24",$B$4:$BI$4,"&gt;12")</f>
        <v>863606.02470945567</v>
      </c>
      <c r="BM98" s="115">
        <f ca="1">SUMIFS($B98:$BI98,$B$4:$BI$4,"&lt;=36",$B$4:$BI$4,"&gt;24")</f>
        <v>1516184.6009402429</v>
      </c>
      <c r="BN98" s="115">
        <f ca="1">SUMIFS($B98:$BI98,$B$4:$BI$4,"&lt;=48",$B$4:$BI$4,"&gt;36")</f>
        <v>2187925.1340734656</v>
      </c>
      <c r="BO98" s="115">
        <f ca="1">SUMIFS($B98:$BI98,$B$4:$BI$4,"&lt;=60",$B$4:$BI$4,"&gt;48")</f>
        <v>3528738.7855320643</v>
      </c>
    </row>
    <row r="99" spans="1:67" ht="13.4" customHeight="1">
      <c r="A99" s="5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4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9"/>
      <c r="BJ99" s="8">
        <f t="shared" si="29"/>
        <v>0</v>
      </c>
      <c r="BK99" s="133"/>
      <c r="BL99" s="133"/>
      <c r="BM99" s="133"/>
      <c r="BN99" s="133"/>
      <c r="BO99" s="133"/>
    </row>
    <row r="100" spans="1:67" ht="13.4" customHeight="1">
      <c r="A100" s="132" t="s">
        <v>248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4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9"/>
      <c r="BJ100" s="134" t="str">
        <f t="shared" si="29"/>
        <v>Increment</v>
      </c>
      <c r="BK100" s="133"/>
      <c r="BL100" s="133"/>
      <c r="BM100" s="133"/>
      <c r="BN100" s="133"/>
      <c r="BO100" s="133"/>
    </row>
    <row r="101" spans="1:67" ht="12.95" customHeight="1">
      <c r="A101" s="121"/>
      <c r="B101" s="122" t="s">
        <v>151</v>
      </c>
      <c r="C101" s="122" t="s">
        <v>152</v>
      </c>
      <c r="D101" s="122" t="s">
        <v>153</v>
      </c>
      <c r="E101" s="122" t="s">
        <v>154</v>
      </c>
      <c r="F101" s="122" t="s">
        <v>155</v>
      </c>
      <c r="G101" s="122" t="s">
        <v>156</v>
      </c>
      <c r="H101" s="122" t="s">
        <v>157</v>
      </c>
      <c r="I101" s="122" t="s">
        <v>158</v>
      </c>
      <c r="J101" s="122" t="s">
        <v>159</v>
      </c>
      <c r="K101" s="122" t="s">
        <v>160</v>
      </c>
      <c r="L101" s="122" t="s">
        <v>161</v>
      </c>
      <c r="M101" s="122" t="s">
        <v>162</v>
      </c>
      <c r="N101" s="122" t="s">
        <v>163</v>
      </c>
      <c r="O101" s="122" t="s">
        <v>164</v>
      </c>
      <c r="P101" s="122" t="s">
        <v>165</v>
      </c>
      <c r="Q101" s="122" t="s">
        <v>166</v>
      </c>
      <c r="R101" s="122" t="s">
        <v>167</v>
      </c>
      <c r="S101" s="122" t="s">
        <v>168</v>
      </c>
      <c r="T101" s="122" t="s">
        <v>169</v>
      </c>
      <c r="U101" s="122" t="s">
        <v>170</v>
      </c>
      <c r="V101" s="122" t="s">
        <v>171</v>
      </c>
      <c r="W101" s="122" t="s">
        <v>172</v>
      </c>
      <c r="X101" s="122" t="s">
        <v>173</v>
      </c>
      <c r="Y101" s="122" t="s">
        <v>174</v>
      </c>
      <c r="Z101" s="122" t="s">
        <v>175</v>
      </c>
      <c r="AA101" s="122" t="s">
        <v>176</v>
      </c>
      <c r="AB101" s="122" t="s">
        <v>177</v>
      </c>
      <c r="AC101" s="122" t="s">
        <v>178</v>
      </c>
      <c r="AD101" s="122" t="s">
        <v>179</v>
      </c>
      <c r="AE101" s="122" t="s">
        <v>180</v>
      </c>
      <c r="AF101" s="122" t="s">
        <v>181</v>
      </c>
      <c r="AG101" s="122" t="s">
        <v>182</v>
      </c>
      <c r="AH101" s="122" t="s">
        <v>183</v>
      </c>
      <c r="AI101" s="122" t="s">
        <v>184</v>
      </c>
      <c r="AJ101" s="122" t="s">
        <v>185</v>
      </c>
      <c r="AK101" s="122" t="s">
        <v>186</v>
      </c>
      <c r="AL101" s="122" t="s">
        <v>187</v>
      </c>
      <c r="AM101" s="122" t="s">
        <v>188</v>
      </c>
      <c r="AN101" s="122" t="s">
        <v>189</v>
      </c>
      <c r="AO101" s="122" t="s">
        <v>190</v>
      </c>
      <c r="AP101" s="122" t="s">
        <v>191</v>
      </c>
      <c r="AQ101" s="122" t="s">
        <v>192</v>
      </c>
      <c r="AR101" s="122" t="s">
        <v>193</v>
      </c>
      <c r="AS101" s="122" t="s">
        <v>194</v>
      </c>
      <c r="AT101" s="122" t="s">
        <v>195</v>
      </c>
      <c r="AU101" s="122" t="s">
        <v>196</v>
      </c>
      <c r="AV101" s="122" t="s">
        <v>197</v>
      </c>
      <c r="AW101" s="122" t="s">
        <v>198</v>
      </c>
      <c r="AX101" s="122" t="s">
        <v>199</v>
      </c>
      <c r="AY101" s="122" t="s">
        <v>200</v>
      </c>
      <c r="AZ101" s="122" t="s">
        <v>201</v>
      </c>
      <c r="BA101" s="122" t="s">
        <v>202</v>
      </c>
      <c r="BB101" s="122" t="s">
        <v>203</v>
      </c>
      <c r="BC101" s="122" t="s">
        <v>204</v>
      </c>
      <c r="BD101" s="122" t="s">
        <v>205</v>
      </c>
      <c r="BE101" s="122" t="s">
        <v>206</v>
      </c>
      <c r="BF101" s="122" t="s">
        <v>207</v>
      </c>
      <c r="BG101" s="122" t="s">
        <v>208</v>
      </c>
      <c r="BH101" s="122" t="s">
        <v>209</v>
      </c>
      <c r="BI101" s="123" t="s">
        <v>210</v>
      </c>
      <c r="BJ101" s="124">
        <f t="shared" si="29"/>
        <v>0</v>
      </c>
      <c r="BK101" s="81" t="s">
        <v>151</v>
      </c>
      <c r="BL101" s="81" t="s">
        <v>152</v>
      </c>
      <c r="BM101" s="81" t="s">
        <v>153</v>
      </c>
      <c r="BN101" s="81" t="s">
        <v>154</v>
      </c>
      <c r="BO101" s="81" t="s">
        <v>155</v>
      </c>
    </row>
    <row r="102" spans="1:67" ht="13.4" customHeight="1">
      <c r="A102" s="5" t="s">
        <v>81</v>
      </c>
      <c r="B102" s="4"/>
      <c r="C102" s="6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9"/>
      <c r="BJ102" s="8" t="str">
        <f t="shared" si="29"/>
        <v>Technology Infrastructure</v>
      </c>
      <c r="BK102" s="6"/>
      <c r="BL102" s="6"/>
      <c r="BM102" s="6"/>
      <c r="BN102" s="6"/>
      <c r="BO102" s="6"/>
    </row>
    <row r="103" spans="1:67" ht="13.4" customHeight="1">
      <c r="A103" s="98" t="s">
        <v>82</v>
      </c>
      <c r="B103" s="27">
        <f ca="1">B81</f>
        <v>5462.5689328824474</v>
      </c>
      <c r="C103" s="27">
        <f t="shared" ref="C103:AH103" ca="1" si="36">IF(C81-B81&gt;0,C81-B81,0)</f>
        <v>5093.3676964481792</v>
      </c>
      <c r="D103" s="27">
        <f t="shared" ca="1" si="36"/>
        <v>10058.038080039471</v>
      </c>
      <c r="E103" s="27">
        <f t="shared" ca="1" si="36"/>
        <v>0</v>
      </c>
      <c r="F103" s="27">
        <f t="shared" ca="1" si="36"/>
        <v>4952.319361593858</v>
      </c>
      <c r="G103" s="27">
        <f t="shared" ca="1" si="36"/>
        <v>13868.225133201307</v>
      </c>
      <c r="H103" s="27">
        <f t="shared" ca="1" si="36"/>
        <v>0</v>
      </c>
      <c r="I103" s="27">
        <f t="shared" ca="1" si="36"/>
        <v>12757.901399083858</v>
      </c>
      <c r="J103" s="27">
        <f t="shared" ca="1" si="36"/>
        <v>11780.422543718953</v>
      </c>
      <c r="K103" s="27">
        <f t="shared" ca="1" si="36"/>
        <v>0</v>
      </c>
      <c r="L103" s="27">
        <f t="shared" ca="1" si="36"/>
        <v>9528.1363754426711</v>
      </c>
      <c r="M103" s="27">
        <f t="shared" ca="1" si="36"/>
        <v>0</v>
      </c>
      <c r="N103" s="27">
        <f t="shared" ca="1" si="36"/>
        <v>46578.396001845816</v>
      </c>
      <c r="O103" s="27">
        <f t="shared" ca="1" si="36"/>
        <v>0</v>
      </c>
      <c r="P103" s="27">
        <f t="shared" ca="1" si="36"/>
        <v>20559.939141281051</v>
      </c>
      <c r="Q103" s="27">
        <f t="shared" ca="1" si="36"/>
        <v>0</v>
      </c>
      <c r="R103" s="27">
        <f t="shared" ca="1" si="36"/>
        <v>12632.287895251153</v>
      </c>
      <c r="S103" s="27">
        <f t="shared" ca="1" si="36"/>
        <v>0</v>
      </c>
      <c r="T103" s="27">
        <f t="shared" ca="1" si="36"/>
        <v>3956.6765741904092</v>
      </c>
      <c r="U103" s="27">
        <f t="shared" ca="1" si="36"/>
        <v>0</v>
      </c>
      <c r="V103" s="27">
        <f t="shared" ca="1" si="36"/>
        <v>53290.115962743686</v>
      </c>
      <c r="W103" s="27">
        <f t="shared" ca="1" si="36"/>
        <v>17053.063452490169</v>
      </c>
      <c r="X103" s="27">
        <f t="shared" ca="1" si="36"/>
        <v>0</v>
      </c>
      <c r="Y103" s="27">
        <f t="shared" ca="1" si="36"/>
        <v>0</v>
      </c>
      <c r="Z103" s="27">
        <f t="shared" ca="1" si="36"/>
        <v>102143.2484620405</v>
      </c>
      <c r="AA103" s="27">
        <f t="shared" ca="1" si="36"/>
        <v>0</v>
      </c>
      <c r="AB103" s="27">
        <f t="shared" ca="1" si="36"/>
        <v>0</v>
      </c>
      <c r="AC103" s="27">
        <f t="shared" ca="1" si="36"/>
        <v>78052.000114222232</v>
      </c>
      <c r="AD103" s="27">
        <f t="shared" ca="1" si="36"/>
        <v>0</v>
      </c>
      <c r="AE103" s="27">
        <f t="shared" ca="1" si="36"/>
        <v>104739.99075423519</v>
      </c>
      <c r="AF103" s="27">
        <f t="shared" ca="1" si="36"/>
        <v>0</v>
      </c>
      <c r="AG103" s="27">
        <f t="shared" ca="1" si="36"/>
        <v>0</v>
      </c>
      <c r="AH103" s="27">
        <f t="shared" ca="1" si="36"/>
        <v>19042.990566504173</v>
      </c>
      <c r="AI103" s="27">
        <f t="shared" ref="AI103:BI103" ca="1" si="37">IF(AI81-AH81&gt;0,AI81-AH81,0)</f>
        <v>54527.857723216017</v>
      </c>
      <c r="AJ103" s="27">
        <f t="shared" ca="1" si="37"/>
        <v>199609.20098788894</v>
      </c>
      <c r="AK103" s="27">
        <f t="shared" ca="1" si="37"/>
        <v>0</v>
      </c>
      <c r="AL103" s="27">
        <f t="shared" ca="1" si="37"/>
        <v>111046.65070047465</v>
      </c>
      <c r="AM103" s="27">
        <f t="shared" ca="1" si="37"/>
        <v>27005.55865529849</v>
      </c>
      <c r="AN103" s="27">
        <f t="shared" ca="1" si="37"/>
        <v>0</v>
      </c>
      <c r="AO103" s="27">
        <f t="shared" ca="1" si="37"/>
        <v>0</v>
      </c>
      <c r="AP103" s="27">
        <f t="shared" ca="1" si="37"/>
        <v>30467.349015606756</v>
      </c>
      <c r="AQ103" s="27">
        <f t="shared" ca="1" si="37"/>
        <v>77301.970395334793</v>
      </c>
      <c r="AR103" s="27">
        <f t="shared" ca="1" si="37"/>
        <v>0</v>
      </c>
      <c r="AS103" s="27">
        <f t="shared" ca="1" si="37"/>
        <v>185818.44218034114</v>
      </c>
      <c r="AT103" s="27">
        <f t="shared" ca="1" si="37"/>
        <v>9429.2982636650559</v>
      </c>
      <c r="AU103" s="27">
        <f t="shared" ca="1" si="37"/>
        <v>0</v>
      </c>
      <c r="AV103" s="27">
        <f t="shared" ca="1" si="37"/>
        <v>29836.87001561193</v>
      </c>
      <c r="AW103" s="27">
        <f t="shared" ca="1" si="37"/>
        <v>35757.780155205808</v>
      </c>
      <c r="AX103" s="27">
        <f t="shared" ca="1" si="37"/>
        <v>0</v>
      </c>
      <c r="AY103" s="27">
        <f t="shared" ca="1" si="37"/>
        <v>0</v>
      </c>
      <c r="AZ103" s="27">
        <f t="shared" ca="1" si="37"/>
        <v>110113.09191241645</v>
      </c>
      <c r="BA103" s="27">
        <f t="shared" ca="1" si="37"/>
        <v>0</v>
      </c>
      <c r="BB103" s="27">
        <f t="shared" ca="1" si="37"/>
        <v>89980.936994821299</v>
      </c>
      <c r="BC103" s="27">
        <f t="shared" ca="1" si="37"/>
        <v>148393.64225899376</v>
      </c>
      <c r="BD103" s="27">
        <f t="shared" ca="1" si="37"/>
        <v>332.33536965417443</v>
      </c>
      <c r="BE103" s="27">
        <f t="shared" ca="1" si="37"/>
        <v>158877.39229466626</v>
      </c>
      <c r="BF103" s="27">
        <f t="shared" ca="1" si="37"/>
        <v>0</v>
      </c>
      <c r="BG103" s="27">
        <f t="shared" ca="1" si="37"/>
        <v>0</v>
      </c>
      <c r="BH103" s="27">
        <f t="shared" ca="1" si="37"/>
        <v>0</v>
      </c>
      <c r="BI103" s="97">
        <f t="shared" ca="1" si="37"/>
        <v>237898.34691127902</v>
      </c>
      <c r="BJ103" s="10" t="str">
        <f t="shared" si="29"/>
        <v>Servers and Data Centers</v>
      </c>
      <c r="BK103" s="127">
        <f ca="1">SUMIFS($B103:$BI103,$B$4:$BI$4,"&lt;=12")</f>
        <v>73500.979522410751</v>
      </c>
      <c r="BL103" s="127">
        <f ca="1">SUMIFS($B103:$BI103,$B$4:$BI$4,"&lt;=24",$B$4:$BI$4,"&gt;12")</f>
        <v>154070.47902780227</v>
      </c>
      <c r="BM103" s="127">
        <f ca="1">SUMIFS($B103:$BI103,$B$4:$BI$4,"&lt;=36",$B$4:$BI$4,"&gt;24")</f>
        <v>558115.28860810702</v>
      </c>
      <c r="BN103" s="127">
        <f ca="1">SUMIFS($B103:$BI103,$B$4:$BI$4,"&lt;=48",$B$4:$BI$4,"&gt;36")</f>
        <v>506663.91938153864</v>
      </c>
      <c r="BO103" s="127">
        <f ca="1">SUMIFS($B103:$BI103,$B$4:$BI$4,"&lt;=60",$B$4:$BI$4,"&gt;48")</f>
        <v>745595.74574183091</v>
      </c>
    </row>
    <row r="104" spans="1:67" ht="13.4" customHeight="1">
      <c r="A104" s="98" t="s">
        <v>84</v>
      </c>
      <c r="B104" s="27">
        <f ca="1">B82</f>
        <v>1820.8563109608158</v>
      </c>
      <c r="C104" s="27">
        <f t="shared" ref="C104:AH104" ca="1" si="38">IF(C82-B82&gt;0,C82-B82,0)</f>
        <v>1697.7892321493932</v>
      </c>
      <c r="D104" s="27">
        <f t="shared" ca="1" si="38"/>
        <v>3352.6793600131573</v>
      </c>
      <c r="E104" s="27">
        <f t="shared" ca="1" si="38"/>
        <v>0</v>
      </c>
      <c r="F104" s="27">
        <f t="shared" ca="1" si="38"/>
        <v>1650.7731205312866</v>
      </c>
      <c r="G104" s="27">
        <f t="shared" ca="1" si="38"/>
        <v>4622.741711067104</v>
      </c>
      <c r="H104" s="27">
        <f t="shared" ca="1" si="38"/>
        <v>0</v>
      </c>
      <c r="I104" s="27">
        <f t="shared" ca="1" si="38"/>
        <v>4252.6337996946222</v>
      </c>
      <c r="J104" s="27">
        <f t="shared" ca="1" si="38"/>
        <v>3926.8075145729817</v>
      </c>
      <c r="K104" s="27">
        <f t="shared" ca="1" si="38"/>
        <v>0</v>
      </c>
      <c r="L104" s="27">
        <f t="shared" ca="1" si="38"/>
        <v>3176.0454584808904</v>
      </c>
      <c r="M104" s="27">
        <f t="shared" ca="1" si="38"/>
        <v>0</v>
      </c>
      <c r="N104" s="27">
        <f t="shared" ca="1" si="38"/>
        <v>15526.132000615273</v>
      </c>
      <c r="O104" s="27">
        <f t="shared" ca="1" si="38"/>
        <v>0</v>
      </c>
      <c r="P104" s="27">
        <f t="shared" ca="1" si="38"/>
        <v>6853.3130470936812</v>
      </c>
      <c r="Q104" s="27">
        <f t="shared" ca="1" si="38"/>
        <v>0</v>
      </c>
      <c r="R104" s="27">
        <f t="shared" ca="1" si="38"/>
        <v>4210.7626317503891</v>
      </c>
      <c r="S104" s="27">
        <f t="shared" ca="1" si="38"/>
        <v>0</v>
      </c>
      <c r="T104" s="27">
        <f t="shared" ca="1" si="38"/>
        <v>1318.8921913968043</v>
      </c>
      <c r="U104" s="27">
        <f t="shared" ca="1" si="38"/>
        <v>0</v>
      </c>
      <c r="V104" s="27">
        <f t="shared" ca="1" si="38"/>
        <v>17763.371987581235</v>
      </c>
      <c r="W104" s="27">
        <f t="shared" ca="1" si="38"/>
        <v>5684.3544841633848</v>
      </c>
      <c r="X104" s="27">
        <f t="shared" ca="1" si="38"/>
        <v>0</v>
      </c>
      <c r="Y104" s="27">
        <f t="shared" ca="1" si="38"/>
        <v>0</v>
      </c>
      <c r="Z104" s="27">
        <f t="shared" ca="1" si="38"/>
        <v>34047.749487346839</v>
      </c>
      <c r="AA104" s="27">
        <f t="shared" ca="1" si="38"/>
        <v>0</v>
      </c>
      <c r="AB104" s="27">
        <f t="shared" ca="1" si="38"/>
        <v>0</v>
      </c>
      <c r="AC104" s="27">
        <f t="shared" ca="1" si="38"/>
        <v>26017.333371407411</v>
      </c>
      <c r="AD104" s="27">
        <f t="shared" ca="1" si="38"/>
        <v>0</v>
      </c>
      <c r="AE104" s="27">
        <f t="shared" ca="1" si="38"/>
        <v>34913.330251411724</v>
      </c>
      <c r="AF104" s="27">
        <f t="shared" ca="1" si="38"/>
        <v>0</v>
      </c>
      <c r="AG104" s="27">
        <f t="shared" ca="1" si="38"/>
        <v>0</v>
      </c>
      <c r="AH104" s="27">
        <f t="shared" ca="1" si="38"/>
        <v>6347.6635221680626</v>
      </c>
      <c r="AI104" s="27">
        <f t="shared" ref="AI104:BI104" ca="1" si="39">IF(AI82-AH82&gt;0,AI82-AH82,0)</f>
        <v>18175.952574405339</v>
      </c>
      <c r="AJ104" s="27">
        <f t="shared" ca="1" si="39"/>
        <v>66536.400329296317</v>
      </c>
      <c r="AK104" s="27">
        <f t="shared" ca="1" si="39"/>
        <v>0</v>
      </c>
      <c r="AL104" s="27">
        <f t="shared" ca="1" si="39"/>
        <v>37015.550233491551</v>
      </c>
      <c r="AM104" s="27">
        <f t="shared" ca="1" si="39"/>
        <v>9001.8528850995062</v>
      </c>
      <c r="AN104" s="27">
        <f t="shared" ca="1" si="39"/>
        <v>0</v>
      </c>
      <c r="AO104" s="27">
        <f t="shared" ca="1" si="39"/>
        <v>0</v>
      </c>
      <c r="AP104" s="27">
        <f t="shared" ca="1" si="39"/>
        <v>10155.783005202255</v>
      </c>
      <c r="AQ104" s="27">
        <f t="shared" ca="1" si="39"/>
        <v>25767.323465111585</v>
      </c>
      <c r="AR104" s="27">
        <f t="shared" ca="1" si="39"/>
        <v>0</v>
      </c>
      <c r="AS104" s="27">
        <f t="shared" ca="1" si="39"/>
        <v>61939.480726780377</v>
      </c>
      <c r="AT104" s="27">
        <f t="shared" ca="1" si="39"/>
        <v>3143.0994212216901</v>
      </c>
      <c r="AU104" s="27">
        <f t="shared" ca="1" si="39"/>
        <v>0</v>
      </c>
      <c r="AV104" s="27">
        <f t="shared" ca="1" si="39"/>
        <v>9945.6233385373052</v>
      </c>
      <c r="AW104" s="27">
        <f t="shared" ca="1" si="39"/>
        <v>11919.260051735284</v>
      </c>
      <c r="AX104" s="27">
        <f t="shared" ca="1" si="39"/>
        <v>0</v>
      </c>
      <c r="AY104" s="27">
        <f t="shared" ca="1" si="39"/>
        <v>0</v>
      </c>
      <c r="AZ104" s="27">
        <f t="shared" ca="1" si="39"/>
        <v>36704.363970805483</v>
      </c>
      <c r="BA104" s="27">
        <f t="shared" ca="1" si="39"/>
        <v>0</v>
      </c>
      <c r="BB104" s="27">
        <f t="shared" ca="1" si="39"/>
        <v>29993.645664940428</v>
      </c>
      <c r="BC104" s="27">
        <f t="shared" ca="1" si="39"/>
        <v>49464.547419664596</v>
      </c>
      <c r="BD104" s="27">
        <f t="shared" ca="1" si="39"/>
        <v>110.77845655140118</v>
      </c>
      <c r="BE104" s="27">
        <f t="shared" ca="1" si="39"/>
        <v>52959.130764888745</v>
      </c>
      <c r="BF104" s="27">
        <f t="shared" ca="1" si="39"/>
        <v>0</v>
      </c>
      <c r="BG104" s="27">
        <f t="shared" ca="1" si="39"/>
        <v>0</v>
      </c>
      <c r="BH104" s="27">
        <f t="shared" ca="1" si="39"/>
        <v>0</v>
      </c>
      <c r="BI104" s="97">
        <f t="shared" ca="1" si="39"/>
        <v>79299.44897042634</v>
      </c>
      <c r="BJ104" s="10" t="str">
        <f t="shared" si="29"/>
        <v>Networking Equipment</v>
      </c>
      <c r="BK104" s="127">
        <f ca="1">SUMIFS($B104:$BI104,$B$4:$BI$4,"&lt;=12")</f>
        <v>24500.32650747025</v>
      </c>
      <c r="BL104" s="127">
        <f ca="1">SUMIFS($B104:$BI104,$B$4:$BI$4,"&lt;=24",$B$4:$BI$4,"&gt;12")</f>
        <v>51356.826342600769</v>
      </c>
      <c r="BM104" s="127">
        <f ca="1">SUMIFS($B104:$BI104,$B$4:$BI$4,"&lt;=36",$B$4:$BI$4,"&gt;24")</f>
        <v>186038.42953603569</v>
      </c>
      <c r="BN104" s="127">
        <f ca="1">SUMIFS($B104:$BI104,$B$4:$BI$4,"&lt;=48",$B$4:$BI$4,"&gt;36")</f>
        <v>168887.97312717955</v>
      </c>
      <c r="BO104" s="127">
        <f ca="1">SUMIFS($B104:$BI104,$B$4:$BI$4,"&lt;=60",$B$4:$BI$4,"&gt;48")</f>
        <v>248531.91524727701</v>
      </c>
    </row>
    <row r="105" spans="1:67" ht="13.4" customHeight="1">
      <c r="A105" s="5" t="s">
        <v>85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97"/>
      <c r="BJ105" s="8" t="str">
        <f t="shared" si="29"/>
        <v>Software and Licenses</v>
      </c>
      <c r="BK105" s="6"/>
      <c r="BL105" s="6"/>
      <c r="BM105" s="6"/>
      <c r="BN105" s="6"/>
      <c r="BO105" s="6"/>
    </row>
    <row r="106" spans="1:67" ht="13.4" customHeight="1">
      <c r="A106" s="98" t="s">
        <v>86</v>
      </c>
      <c r="B106" s="27">
        <f ca="1">B84</f>
        <v>3641.7126219216316</v>
      </c>
      <c r="C106" s="27">
        <f t="shared" ref="C106:AH106" ca="1" si="40">IF(C84-B84&gt;0,C84-B84,0)</f>
        <v>3395.5784642987865</v>
      </c>
      <c r="D106" s="27">
        <f t="shared" ca="1" si="40"/>
        <v>6705.3587200263146</v>
      </c>
      <c r="E106" s="27">
        <f t="shared" ca="1" si="40"/>
        <v>0</v>
      </c>
      <c r="F106" s="27">
        <f t="shared" ca="1" si="40"/>
        <v>3301.5462410625732</v>
      </c>
      <c r="G106" s="27">
        <f t="shared" ca="1" si="40"/>
        <v>9245.483422134208</v>
      </c>
      <c r="H106" s="27">
        <f t="shared" ca="1" si="40"/>
        <v>0</v>
      </c>
      <c r="I106" s="27">
        <f t="shared" ca="1" si="40"/>
        <v>8505.2675993892444</v>
      </c>
      <c r="J106" s="27">
        <f t="shared" ca="1" si="40"/>
        <v>7853.6150291459635</v>
      </c>
      <c r="K106" s="27">
        <f t="shared" ca="1" si="40"/>
        <v>0</v>
      </c>
      <c r="L106" s="27">
        <f t="shared" ca="1" si="40"/>
        <v>6352.0909169617807</v>
      </c>
      <c r="M106" s="27">
        <f t="shared" ca="1" si="40"/>
        <v>0</v>
      </c>
      <c r="N106" s="27">
        <f t="shared" ca="1" si="40"/>
        <v>31052.264001230546</v>
      </c>
      <c r="O106" s="27">
        <f t="shared" ca="1" si="40"/>
        <v>0</v>
      </c>
      <c r="P106" s="27">
        <f t="shared" ca="1" si="40"/>
        <v>13706.626094187362</v>
      </c>
      <c r="Q106" s="27">
        <f t="shared" ca="1" si="40"/>
        <v>0</v>
      </c>
      <c r="R106" s="27">
        <f t="shared" ca="1" si="40"/>
        <v>8421.5252635007782</v>
      </c>
      <c r="S106" s="27">
        <f t="shared" ca="1" si="40"/>
        <v>0</v>
      </c>
      <c r="T106" s="27">
        <f t="shared" ca="1" si="40"/>
        <v>2637.7843827936085</v>
      </c>
      <c r="U106" s="27">
        <f t="shared" ca="1" si="40"/>
        <v>0</v>
      </c>
      <c r="V106" s="27">
        <f t="shared" ca="1" si="40"/>
        <v>35526.74397516247</v>
      </c>
      <c r="W106" s="27">
        <f t="shared" ca="1" si="40"/>
        <v>11368.70896832677</v>
      </c>
      <c r="X106" s="27">
        <f t="shared" ca="1" si="40"/>
        <v>0</v>
      </c>
      <c r="Y106" s="27">
        <f t="shared" ca="1" si="40"/>
        <v>0</v>
      </c>
      <c r="Z106" s="27">
        <f t="shared" ca="1" si="40"/>
        <v>68095.498974693677</v>
      </c>
      <c r="AA106" s="27">
        <f t="shared" ca="1" si="40"/>
        <v>0</v>
      </c>
      <c r="AB106" s="27">
        <f t="shared" ca="1" si="40"/>
        <v>0</v>
      </c>
      <c r="AC106" s="27">
        <f t="shared" ca="1" si="40"/>
        <v>52034.666742814821</v>
      </c>
      <c r="AD106" s="27">
        <f t="shared" ca="1" si="40"/>
        <v>0</v>
      </c>
      <c r="AE106" s="27">
        <f t="shared" ca="1" si="40"/>
        <v>69826.660502823448</v>
      </c>
      <c r="AF106" s="27">
        <f t="shared" ca="1" si="40"/>
        <v>0</v>
      </c>
      <c r="AG106" s="27">
        <f t="shared" ca="1" si="40"/>
        <v>0</v>
      </c>
      <c r="AH106" s="27">
        <f t="shared" ca="1" si="40"/>
        <v>12695.327044336125</v>
      </c>
      <c r="AI106" s="27">
        <f t="shared" ref="AI106:BI106" ca="1" si="41">IF(AI84-AH84&gt;0,AI84-AH84,0)</f>
        <v>36351.905148810678</v>
      </c>
      <c r="AJ106" s="27">
        <f t="shared" ca="1" si="41"/>
        <v>133072.80065859263</v>
      </c>
      <c r="AK106" s="27">
        <f t="shared" ca="1" si="41"/>
        <v>0</v>
      </c>
      <c r="AL106" s="27">
        <f t="shared" ca="1" si="41"/>
        <v>74031.100466983102</v>
      </c>
      <c r="AM106" s="27">
        <f t="shared" ca="1" si="41"/>
        <v>18003.705770199012</v>
      </c>
      <c r="AN106" s="27">
        <f t="shared" ca="1" si="41"/>
        <v>0</v>
      </c>
      <c r="AO106" s="27">
        <f t="shared" ca="1" si="41"/>
        <v>0</v>
      </c>
      <c r="AP106" s="27">
        <f t="shared" ca="1" si="41"/>
        <v>20311.566010404509</v>
      </c>
      <c r="AQ106" s="27">
        <f t="shared" ca="1" si="41"/>
        <v>51534.646930223171</v>
      </c>
      <c r="AR106" s="27">
        <f t="shared" ca="1" si="41"/>
        <v>0</v>
      </c>
      <c r="AS106" s="27">
        <f t="shared" ca="1" si="41"/>
        <v>123878.96145356075</v>
      </c>
      <c r="AT106" s="27">
        <f t="shared" ca="1" si="41"/>
        <v>6286.1988424433803</v>
      </c>
      <c r="AU106" s="27">
        <f t="shared" ca="1" si="41"/>
        <v>0</v>
      </c>
      <c r="AV106" s="27">
        <f t="shared" ca="1" si="41"/>
        <v>19891.24667707461</v>
      </c>
      <c r="AW106" s="27">
        <f t="shared" ca="1" si="41"/>
        <v>23838.520103470568</v>
      </c>
      <c r="AX106" s="27">
        <f t="shared" ca="1" si="41"/>
        <v>0</v>
      </c>
      <c r="AY106" s="27">
        <f t="shared" ca="1" si="41"/>
        <v>0</v>
      </c>
      <c r="AZ106" s="27">
        <f t="shared" ca="1" si="41"/>
        <v>73408.727941610967</v>
      </c>
      <c r="BA106" s="27">
        <f t="shared" ca="1" si="41"/>
        <v>0</v>
      </c>
      <c r="BB106" s="27">
        <f t="shared" ca="1" si="41"/>
        <v>59987.291329880856</v>
      </c>
      <c r="BC106" s="27">
        <f t="shared" ca="1" si="41"/>
        <v>98929.094839329191</v>
      </c>
      <c r="BD106" s="27">
        <f t="shared" ca="1" si="41"/>
        <v>221.55691310280235</v>
      </c>
      <c r="BE106" s="27">
        <f t="shared" ca="1" si="41"/>
        <v>105918.26152977749</v>
      </c>
      <c r="BF106" s="27">
        <f t="shared" ca="1" si="41"/>
        <v>0</v>
      </c>
      <c r="BG106" s="27">
        <f t="shared" ca="1" si="41"/>
        <v>0</v>
      </c>
      <c r="BH106" s="27">
        <f t="shared" ca="1" si="41"/>
        <v>0</v>
      </c>
      <c r="BI106" s="97">
        <f t="shared" ca="1" si="41"/>
        <v>158598.89794085268</v>
      </c>
      <c r="BJ106" s="10" t="str">
        <f t="shared" si="29"/>
        <v>Enterprise Software</v>
      </c>
      <c r="BK106" s="127">
        <f ca="1">SUMIFS($B106:$BI106,$B$4:$BI$4,"&lt;=12")</f>
        <v>49000.653014940501</v>
      </c>
      <c r="BL106" s="127">
        <f ca="1">SUMIFS($B106:$BI106,$B$4:$BI$4,"&lt;=24",$B$4:$BI$4,"&gt;12")</f>
        <v>102713.65268520154</v>
      </c>
      <c r="BM106" s="127">
        <f ca="1">SUMIFS($B106:$BI106,$B$4:$BI$4,"&lt;=36",$B$4:$BI$4,"&gt;24")</f>
        <v>372076.85907207138</v>
      </c>
      <c r="BN106" s="127">
        <f ca="1">SUMIFS($B106:$BI106,$B$4:$BI$4,"&lt;=48",$B$4:$BI$4,"&gt;36")</f>
        <v>337775.94625435909</v>
      </c>
      <c r="BO106" s="127">
        <f ca="1">SUMIFS($B106:$BI106,$B$4:$BI$4,"&lt;=60",$B$4:$BI$4,"&gt;48")</f>
        <v>497063.83049455401</v>
      </c>
    </row>
    <row r="107" spans="1:67" ht="13.4" customHeight="1">
      <c r="A107" s="98" t="s">
        <v>87</v>
      </c>
      <c r="B107" s="27">
        <f ca="1">B85</f>
        <v>1820.8563109608158</v>
      </c>
      <c r="C107" s="27">
        <f t="shared" ref="C107:AH107" ca="1" si="42">IF(C85-B85&gt;0,C85-B85,0)</f>
        <v>1697.7892321493932</v>
      </c>
      <c r="D107" s="27">
        <f t="shared" ca="1" si="42"/>
        <v>3352.6793600131573</v>
      </c>
      <c r="E107" s="27">
        <f t="shared" ca="1" si="42"/>
        <v>0</v>
      </c>
      <c r="F107" s="27">
        <f t="shared" ca="1" si="42"/>
        <v>1650.7731205312866</v>
      </c>
      <c r="G107" s="27">
        <f t="shared" ca="1" si="42"/>
        <v>4622.741711067104</v>
      </c>
      <c r="H107" s="27">
        <f t="shared" ca="1" si="42"/>
        <v>0</v>
      </c>
      <c r="I107" s="27">
        <f t="shared" ca="1" si="42"/>
        <v>4252.6337996946222</v>
      </c>
      <c r="J107" s="27">
        <f t="shared" ca="1" si="42"/>
        <v>3926.8075145729817</v>
      </c>
      <c r="K107" s="27">
        <f t="shared" ca="1" si="42"/>
        <v>0</v>
      </c>
      <c r="L107" s="27">
        <f t="shared" ca="1" si="42"/>
        <v>3176.0454584808904</v>
      </c>
      <c r="M107" s="27">
        <f t="shared" ca="1" si="42"/>
        <v>0</v>
      </c>
      <c r="N107" s="27">
        <f t="shared" ca="1" si="42"/>
        <v>15526.132000615273</v>
      </c>
      <c r="O107" s="27">
        <f t="shared" ca="1" si="42"/>
        <v>0</v>
      </c>
      <c r="P107" s="27">
        <f t="shared" ca="1" si="42"/>
        <v>6853.3130470936812</v>
      </c>
      <c r="Q107" s="27">
        <f t="shared" ca="1" si="42"/>
        <v>0</v>
      </c>
      <c r="R107" s="27">
        <f t="shared" ca="1" si="42"/>
        <v>4210.7626317503891</v>
      </c>
      <c r="S107" s="27">
        <f t="shared" ca="1" si="42"/>
        <v>0</v>
      </c>
      <c r="T107" s="27">
        <f t="shared" ca="1" si="42"/>
        <v>1318.8921913968043</v>
      </c>
      <c r="U107" s="27">
        <f t="shared" ca="1" si="42"/>
        <v>0</v>
      </c>
      <c r="V107" s="27">
        <f t="shared" ca="1" si="42"/>
        <v>17763.371987581235</v>
      </c>
      <c r="W107" s="27">
        <f t="shared" ca="1" si="42"/>
        <v>5684.3544841633848</v>
      </c>
      <c r="X107" s="27">
        <f t="shared" ca="1" si="42"/>
        <v>0</v>
      </c>
      <c r="Y107" s="27">
        <f t="shared" ca="1" si="42"/>
        <v>0</v>
      </c>
      <c r="Z107" s="27">
        <f t="shared" ca="1" si="42"/>
        <v>34047.749487346839</v>
      </c>
      <c r="AA107" s="27">
        <f t="shared" ca="1" si="42"/>
        <v>0</v>
      </c>
      <c r="AB107" s="27">
        <f t="shared" ca="1" si="42"/>
        <v>0</v>
      </c>
      <c r="AC107" s="27">
        <f t="shared" ca="1" si="42"/>
        <v>26017.333371407411</v>
      </c>
      <c r="AD107" s="27">
        <f t="shared" ca="1" si="42"/>
        <v>0</v>
      </c>
      <c r="AE107" s="27">
        <f t="shared" ca="1" si="42"/>
        <v>34913.330251411724</v>
      </c>
      <c r="AF107" s="27">
        <f t="shared" ca="1" si="42"/>
        <v>0</v>
      </c>
      <c r="AG107" s="27">
        <f t="shared" ca="1" si="42"/>
        <v>0</v>
      </c>
      <c r="AH107" s="27">
        <f t="shared" ca="1" si="42"/>
        <v>6347.6635221680626</v>
      </c>
      <c r="AI107" s="27">
        <f t="shared" ref="AI107:BI107" ca="1" si="43">IF(AI85-AH85&gt;0,AI85-AH85,0)</f>
        <v>18175.952574405339</v>
      </c>
      <c r="AJ107" s="27">
        <f t="shared" ca="1" si="43"/>
        <v>66536.400329296317</v>
      </c>
      <c r="AK107" s="27">
        <f t="shared" ca="1" si="43"/>
        <v>0</v>
      </c>
      <c r="AL107" s="27">
        <f t="shared" ca="1" si="43"/>
        <v>37015.550233491551</v>
      </c>
      <c r="AM107" s="27">
        <f t="shared" ca="1" si="43"/>
        <v>9001.8528850995062</v>
      </c>
      <c r="AN107" s="27">
        <f t="shared" ca="1" si="43"/>
        <v>0</v>
      </c>
      <c r="AO107" s="27">
        <f t="shared" ca="1" si="43"/>
        <v>0</v>
      </c>
      <c r="AP107" s="27">
        <f t="shared" ca="1" si="43"/>
        <v>10155.783005202255</v>
      </c>
      <c r="AQ107" s="27">
        <f t="shared" ca="1" si="43"/>
        <v>25767.323465111585</v>
      </c>
      <c r="AR107" s="27">
        <f t="shared" ca="1" si="43"/>
        <v>0</v>
      </c>
      <c r="AS107" s="27">
        <f t="shared" ca="1" si="43"/>
        <v>61939.480726780377</v>
      </c>
      <c r="AT107" s="27">
        <f t="shared" ca="1" si="43"/>
        <v>3143.0994212216901</v>
      </c>
      <c r="AU107" s="27">
        <f t="shared" ca="1" si="43"/>
        <v>0</v>
      </c>
      <c r="AV107" s="27">
        <f t="shared" ca="1" si="43"/>
        <v>9945.6233385373052</v>
      </c>
      <c r="AW107" s="27">
        <f t="shared" ca="1" si="43"/>
        <v>11919.260051735284</v>
      </c>
      <c r="AX107" s="27">
        <f t="shared" ca="1" si="43"/>
        <v>0</v>
      </c>
      <c r="AY107" s="27">
        <f t="shared" ca="1" si="43"/>
        <v>0</v>
      </c>
      <c r="AZ107" s="27">
        <f t="shared" ca="1" si="43"/>
        <v>36704.363970805483</v>
      </c>
      <c r="BA107" s="27">
        <f t="shared" ca="1" si="43"/>
        <v>0</v>
      </c>
      <c r="BB107" s="27">
        <f t="shared" ca="1" si="43"/>
        <v>29993.645664940428</v>
      </c>
      <c r="BC107" s="27">
        <f t="shared" ca="1" si="43"/>
        <v>49464.547419664596</v>
      </c>
      <c r="BD107" s="27">
        <f t="shared" ca="1" si="43"/>
        <v>110.77845655140118</v>
      </c>
      <c r="BE107" s="27">
        <f t="shared" ca="1" si="43"/>
        <v>52959.130764888745</v>
      </c>
      <c r="BF107" s="27">
        <f t="shared" ca="1" si="43"/>
        <v>0</v>
      </c>
      <c r="BG107" s="27">
        <f t="shared" ca="1" si="43"/>
        <v>0</v>
      </c>
      <c r="BH107" s="27">
        <f t="shared" ca="1" si="43"/>
        <v>0</v>
      </c>
      <c r="BI107" s="97">
        <f t="shared" ca="1" si="43"/>
        <v>79299.44897042634</v>
      </c>
      <c r="BJ107" s="10" t="str">
        <f t="shared" si="29"/>
        <v>Software Licenses</v>
      </c>
      <c r="BK107" s="127">
        <f ca="1">SUMIFS($B107:$BI107,$B$4:$BI$4,"&lt;=12")</f>
        <v>24500.32650747025</v>
      </c>
      <c r="BL107" s="127">
        <f ca="1">SUMIFS($B107:$BI107,$B$4:$BI$4,"&lt;=24",$B$4:$BI$4,"&gt;12")</f>
        <v>51356.826342600769</v>
      </c>
      <c r="BM107" s="127">
        <f ca="1">SUMIFS($B107:$BI107,$B$4:$BI$4,"&lt;=36",$B$4:$BI$4,"&gt;24")</f>
        <v>186038.42953603569</v>
      </c>
      <c r="BN107" s="127">
        <f ca="1">SUMIFS($B107:$BI107,$B$4:$BI$4,"&lt;=48",$B$4:$BI$4,"&gt;36")</f>
        <v>168887.97312717955</v>
      </c>
      <c r="BO107" s="127">
        <f ca="1">SUMIFS($B107:$BI107,$B$4:$BI$4,"&lt;=60",$B$4:$BI$4,"&gt;48")</f>
        <v>248531.91524727701</v>
      </c>
    </row>
    <row r="108" spans="1:67" ht="13.4" customHeight="1">
      <c r="A108" s="5" t="s">
        <v>88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97"/>
      <c r="BJ108" s="8" t="str">
        <f t="shared" si="29"/>
        <v>Hardware</v>
      </c>
      <c r="BK108" s="6"/>
      <c r="BL108" s="6"/>
      <c r="BM108" s="6"/>
      <c r="BN108" s="6"/>
      <c r="BO108" s="6"/>
    </row>
    <row r="109" spans="1:67" ht="13.4" customHeight="1">
      <c r="A109" s="98" t="s">
        <v>89</v>
      </c>
      <c r="B109" s="27">
        <f ca="1">B87</f>
        <v>1820.8563109608158</v>
      </c>
      <c r="C109" s="27">
        <f t="shared" ref="C109:AH109" ca="1" si="44">IF(C87-B87&gt;0,C87-B87,0)</f>
        <v>1697.7892321493932</v>
      </c>
      <c r="D109" s="27">
        <f t="shared" ca="1" si="44"/>
        <v>3352.6793600131573</v>
      </c>
      <c r="E109" s="27">
        <f t="shared" ca="1" si="44"/>
        <v>0</v>
      </c>
      <c r="F109" s="27">
        <f t="shared" ca="1" si="44"/>
        <v>1650.7731205312866</v>
      </c>
      <c r="G109" s="27">
        <f t="shared" ca="1" si="44"/>
        <v>4622.741711067104</v>
      </c>
      <c r="H109" s="27">
        <f t="shared" ca="1" si="44"/>
        <v>0</v>
      </c>
      <c r="I109" s="27">
        <f t="shared" ca="1" si="44"/>
        <v>4252.6337996946222</v>
      </c>
      <c r="J109" s="27">
        <f t="shared" ca="1" si="44"/>
        <v>3926.8075145729817</v>
      </c>
      <c r="K109" s="27">
        <f t="shared" ca="1" si="44"/>
        <v>0</v>
      </c>
      <c r="L109" s="27">
        <f t="shared" ca="1" si="44"/>
        <v>3176.0454584808904</v>
      </c>
      <c r="M109" s="27">
        <f t="shared" ca="1" si="44"/>
        <v>0</v>
      </c>
      <c r="N109" s="27">
        <f t="shared" ca="1" si="44"/>
        <v>15526.132000615273</v>
      </c>
      <c r="O109" s="27">
        <f t="shared" ca="1" si="44"/>
        <v>0</v>
      </c>
      <c r="P109" s="27">
        <f t="shared" ca="1" si="44"/>
        <v>6853.3130470936812</v>
      </c>
      <c r="Q109" s="27">
        <f t="shared" ca="1" si="44"/>
        <v>0</v>
      </c>
      <c r="R109" s="27">
        <f t="shared" ca="1" si="44"/>
        <v>4210.7626317503891</v>
      </c>
      <c r="S109" s="27">
        <f t="shared" ca="1" si="44"/>
        <v>0</v>
      </c>
      <c r="T109" s="27">
        <f t="shared" ca="1" si="44"/>
        <v>1318.8921913968043</v>
      </c>
      <c r="U109" s="27">
        <f t="shared" ca="1" si="44"/>
        <v>0</v>
      </c>
      <c r="V109" s="27">
        <f t="shared" ca="1" si="44"/>
        <v>17763.371987581235</v>
      </c>
      <c r="W109" s="27">
        <f t="shared" ca="1" si="44"/>
        <v>5684.3544841633848</v>
      </c>
      <c r="X109" s="27">
        <f t="shared" ca="1" si="44"/>
        <v>0</v>
      </c>
      <c r="Y109" s="27">
        <f t="shared" ca="1" si="44"/>
        <v>0</v>
      </c>
      <c r="Z109" s="27">
        <f t="shared" ca="1" si="44"/>
        <v>34047.749487346839</v>
      </c>
      <c r="AA109" s="27">
        <f t="shared" ca="1" si="44"/>
        <v>0</v>
      </c>
      <c r="AB109" s="27">
        <f t="shared" ca="1" si="44"/>
        <v>0</v>
      </c>
      <c r="AC109" s="27">
        <f t="shared" ca="1" si="44"/>
        <v>26017.333371407411</v>
      </c>
      <c r="AD109" s="27">
        <f t="shared" ca="1" si="44"/>
        <v>0</v>
      </c>
      <c r="AE109" s="27">
        <f t="shared" ca="1" si="44"/>
        <v>34913.330251411724</v>
      </c>
      <c r="AF109" s="27">
        <f t="shared" ca="1" si="44"/>
        <v>0</v>
      </c>
      <c r="AG109" s="27">
        <f t="shared" ca="1" si="44"/>
        <v>0</v>
      </c>
      <c r="AH109" s="27">
        <f t="shared" ca="1" si="44"/>
        <v>6347.6635221680626</v>
      </c>
      <c r="AI109" s="27">
        <f t="shared" ref="AI109:BI109" ca="1" si="45">IF(AI87-AH87&gt;0,AI87-AH87,0)</f>
        <v>18175.952574405339</v>
      </c>
      <c r="AJ109" s="27">
        <f t="shared" ca="1" si="45"/>
        <v>66536.400329296317</v>
      </c>
      <c r="AK109" s="27">
        <f t="shared" ca="1" si="45"/>
        <v>0</v>
      </c>
      <c r="AL109" s="27">
        <f t="shared" ca="1" si="45"/>
        <v>37015.550233491551</v>
      </c>
      <c r="AM109" s="27">
        <f t="shared" ca="1" si="45"/>
        <v>9001.8528850995062</v>
      </c>
      <c r="AN109" s="27">
        <f t="shared" ca="1" si="45"/>
        <v>0</v>
      </c>
      <c r="AO109" s="27">
        <f t="shared" ca="1" si="45"/>
        <v>0</v>
      </c>
      <c r="AP109" s="27">
        <f t="shared" ca="1" si="45"/>
        <v>10155.783005202255</v>
      </c>
      <c r="AQ109" s="27">
        <f t="shared" ca="1" si="45"/>
        <v>25767.323465111585</v>
      </c>
      <c r="AR109" s="27">
        <f t="shared" ca="1" si="45"/>
        <v>0</v>
      </c>
      <c r="AS109" s="27">
        <f t="shared" ca="1" si="45"/>
        <v>61939.480726780377</v>
      </c>
      <c r="AT109" s="27">
        <f t="shared" ca="1" si="45"/>
        <v>3143.0994212216901</v>
      </c>
      <c r="AU109" s="27">
        <f t="shared" ca="1" si="45"/>
        <v>0</v>
      </c>
      <c r="AV109" s="27">
        <f t="shared" ca="1" si="45"/>
        <v>9945.6233385373052</v>
      </c>
      <c r="AW109" s="27">
        <f t="shared" ca="1" si="45"/>
        <v>11919.260051735284</v>
      </c>
      <c r="AX109" s="27">
        <f t="shared" ca="1" si="45"/>
        <v>0</v>
      </c>
      <c r="AY109" s="27">
        <f t="shared" ca="1" si="45"/>
        <v>0</v>
      </c>
      <c r="AZ109" s="27">
        <f t="shared" ca="1" si="45"/>
        <v>36704.363970805483</v>
      </c>
      <c r="BA109" s="27">
        <f t="shared" ca="1" si="45"/>
        <v>0</v>
      </c>
      <c r="BB109" s="27">
        <f t="shared" ca="1" si="45"/>
        <v>29993.645664940428</v>
      </c>
      <c r="BC109" s="27">
        <f t="shared" ca="1" si="45"/>
        <v>49464.547419664596</v>
      </c>
      <c r="BD109" s="27">
        <f t="shared" ca="1" si="45"/>
        <v>110.77845655140118</v>
      </c>
      <c r="BE109" s="27">
        <f t="shared" ca="1" si="45"/>
        <v>52959.130764888745</v>
      </c>
      <c r="BF109" s="27">
        <f t="shared" ca="1" si="45"/>
        <v>0</v>
      </c>
      <c r="BG109" s="27">
        <f t="shared" ca="1" si="45"/>
        <v>0</v>
      </c>
      <c r="BH109" s="27">
        <f t="shared" ca="1" si="45"/>
        <v>0</v>
      </c>
      <c r="BI109" s="97">
        <f t="shared" ca="1" si="45"/>
        <v>79299.44897042634</v>
      </c>
      <c r="BJ109" s="10" t="str">
        <f t="shared" si="29"/>
        <v>Computers and Workstations</v>
      </c>
      <c r="BK109" s="127">
        <f ca="1">SUMIFS($B109:$BI109,$B$4:$BI$4,"&lt;=12")</f>
        <v>24500.32650747025</v>
      </c>
      <c r="BL109" s="127">
        <f ca="1">SUMIFS($B109:$BI109,$B$4:$BI$4,"&lt;=24",$B$4:$BI$4,"&gt;12")</f>
        <v>51356.826342600769</v>
      </c>
      <c r="BM109" s="127">
        <f ca="1">SUMIFS($B109:$BI109,$B$4:$BI$4,"&lt;=36",$B$4:$BI$4,"&gt;24")</f>
        <v>186038.42953603569</v>
      </c>
      <c r="BN109" s="127">
        <f ca="1">SUMIFS($B109:$BI109,$B$4:$BI$4,"&lt;=48",$B$4:$BI$4,"&gt;36")</f>
        <v>168887.97312717955</v>
      </c>
      <c r="BO109" s="127">
        <f ca="1">SUMIFS($B109:$BI109,$B$4:$BI$4,"&lt;=60",$B$4:$BI$4,"&gt;48")</f>
        <v>248531.91524727701</v>
      </c>
    </row>
    <row r="110" spans="1:67" ht="13.4" customHeight="1">
      <c r="A110" s="98" t="s">
        <v>90</v>
      </c>
      <c r="B110" s="27">
        <f ca="1">B88</f>
        <v>3641.7126219216316</v>
      </c>
      <c r="C110" s="27">
        <f t="shared" ref="C110:AH110" ca="1" si="46">IF(C88-B88&gt;0,C88-B88,0)</f>
        <v>3395.5784642987865</v>
      </c>
      <c r="D110" s="27">
        <f t="shared" ca="1" si="46"/>
        <v>6705.3587200263146</v>
      </c>
      <c r="E110" s="27">
        <f t="shared" ca="1" si="46"/>
        <v>0</v>
      </c>
      <c r="F110" s="27">
        <f t="shared" ca="1" si="46"/>
        <v>3301.5462410625732</v>
      </c>
      <c r="G110" s="27">
        <f t="shared" ca="1" si="46"/>
        <v>9245.483422134208</v>
      </c>
      <c r="H110" s="27">
        <f t="shared" ca="1" si="46"/>
        <v>0</v>
      </c>
      <c r="I110" s="27">
        <f t="shared" ca="1" si="46"/>
        <v>8505.2675993892444</v>
      </c>
      <c r="J110" s="27">
        <f t="shared" ca="1" si="46"/>
        <v>7853.6150291459635</v>
      </c>
      <c r="K110" s="27">
        <f t="shared" ca="1" si="46"/>
        <v>0</v>
      </c>
      <c r="L110" s="27">
        <f t="shared" ca="1" si="46"/>
        <v>6352.0909169617807</v>
      </c>
      <c r="M110" s="27">
        <f t="shared" ca="1" si="46"/>
        <v>0</v>
      </c>
      <c r="N110" s="27">
        <f t="shared" ca="1" si="46"/>
        <v>31052.264001230546</v>
      </c>
      <c r="O110" s="27">
        <f t="shared" ca="1" si="46"/>
        <v>0</v>
      </c>
      <c r="P110" s="27">
        <f t="shared" ca="1" si="46"/>
        <v>13706.626094187362</v>
      </c>
      <c r="Q110" s="27">
        <f t="shared" ca="1" si="46"/>
        <v>0</v>
      </c>
      <c r="R110" s="27">
        <f t="shared" ca="1" si="46"/>
        <v>8421.5252635007782</v>
      </c>
      <c r="S110" s="27">
        <f t="shared" ca="1" si="46"/>
        <v>0</v>
      </c>
      <c r="T110" s="27">
        <f t="shared" ca="1" si="46"/>
        <v>2637.7843827936085</v>
      </c>
      <c r="U110" s="27">
        <f t="shared" ca="1" si="46"/>
        <v>0</v>
      </c>
      <c r="V110" s="27">
        <f t="shared" ca="1" si="46"/>
        <v>35526.74397516247</v>
      </c>
      <c r="W110" s="27">
        <f t="shared" ca="1" si="46"/>
        <v>11368.70896832677</v>
      </c>
      <c r="X110" s="27">
        <f t="shared" ca="1" si="46"/>
        <v>0</v>
      </c>
      <c r="Y110" s="27">
        <f t="shared" ca="1" si="46"/>
        <v>0</v>
      </c>
      <c r="Z110" s="27">
        <f t="shared" ca="1" si="46"/>
        <v>68095.498974693677</v>
      </c>
      <c r="AA110" s="27">
        <f t="shared" ca="1" si="46"/>
        <v>0</v>
      </c>
      <c r="AB110" s="27">
        <f t="shared" ca="1" si="46"/>
        <v>0</v>
      </c>
      <c r="AC110" s="27">
        <f t="shared" ca="1" si="46"/>
        <v>52034.666742814821</v>
      </c>
      <c r="AD110" s="27">
        <f t="shared" ca="1" si="46"/>
        <v>0</v>
      </c>
      <c r="AE110" s="27">
        <f t="shared" ca="1" si="46"/>
        <v>69826.660502823448</v>
      </c>
      <c r="AF110" s="27">
        <f t="shared" ca="1" si="46"/>
        <v>0</v>
      </c>
      <c r="AG110" s="27">
        <f t="shared" ca="1" si="46"/>
        <v>0</v>
      </c>
      <c r="AH110" s="27">
        <f t="shared" ca="1" si="46"/>
        <v>12695.327044336125</v>
      </c>
      <c r="AI110" s="27">
        <f t="shared" ref="AI110:BI110" ca="1" si="47">IF(AI88-AH88&gt;0,AI88-AH88,0)</f>
        <v>36351.905148810678</v>
      </c>
      <c r="AJ110" s="27">
        <f t="shared" ca="1" si="47"/>
        <v>133072.80065859263</v>
      </c>
      <c r="AK110" s="27">
        <f t="shared" ca="1" si="47"/>
        <v>0</v>
      </c>
      <c r="AL110" s="27">
        <f t="shared" ca="1" si="47"/>
        <v>74031.100466983102</v>
      </c>
      <c r="AM110" s="27">
        <f t="shared" ca="1" si="47"/>
        <v>18003.705770199012</v>
      </c>
      <c r="AN110" s="27">
        <f t="shared" ca="1" si="47"/>
        <v>0</v>
      </c>
      <c r="AO110" s="27">
        <f t="shared" ca="1" si="47"/>
        <v>0</v>
      </c>
      <c r="AP110" s="27">
        <f t="shared" ca="1" si="47"/>
        <v>20311.566010404509</v>
      </c>
      <c r="AQ110" s="27">
        <f t="shared" ca="1" si="47"/>
        <v>51534.646930223171</v>
      </c>
      <c r="AR110" s="27">
        <f t="shared" ca="1" si="47"/>
        <v>0</v>
      </c>
      <c r="AS110" s="27">
        <f t="shared" ca="1" si="47"/>
        <v>123878.96145356075</v>
      </c>
      <c r="AT110" s="27">
        <f t="shared" ca="1" si="47"/>
        <v>6286.1988424433803</v>
      </c>
      <c r="AU110" s="27">
        <f t="shared" ca="1" si="47"/>
        <v>0</v>
      </c>
      <c r="AV110" s="27">
        <f t="shared" ca="1" si="47"/>
        <v>19891.24667707461</v>
      </c>
      <c r="AW110" s="27">
        <f t="shared" ca="1" si="47"/>
        <v>23838.520103470568</v>
      </c>
      <c r="AX110" s="27">
        <f t="shared" ca="1" si="47"/>
        <v>0</v>
      </c>
      <c r="AY110" s="27">
        <f t="shared" ca="1" si="47"/>
        <v>0</v>
      </c>
      <c r="AZ110" s="27">
        <f t="shared" ca="1" si="47"/>
        <v>73408.727941610967</v>
      </c>
      <c r="BA110" s="27">
        <f t="shared" ca="1" si="47"/>
        <v>0</v>
      </c>
      <c r="BB110" s="27">
        <f t="shared" ca="1" si="47"/>
        <v>59987.291329880856</v>
      </c>
      <c r="BC110" s="27">
        <f t="shared" ca="1" si="47"/>
        <v>98929.094839329191</v>
      </c>
      <c r="BD110" s="27">
        <f t="shared" ca="1" si="47"/>
        <v>221.55691310280235</v>
      </c>
      <c r="BE110" s="27">
        <f t="shared" ca="1" si="47"/>
        <v>105918.26152977749</v>
      </c>
      <c r="BF110" s="27">
        <f t="shared" ca="1" si="47"/>
        <v>0</v>
      </c>
      <c r="BG110" s="27">
        <f t="shared" ca="1" si="47"/>
        <v>0</v>
      </c>
      <c r="BH110" s="27">
        <f t="shared" ca="1" si="47"/>
        <v>0</v>
      </c>
      <c r="BI110" s="97">
        <f t="shared" ca="1" si="47"/>
        <v>158598.89794085268</v>
      </c>
      <c r="BJ110" s="10" t="str">
        <f t="shared" si="29"/>
        <v>Storage Devices</v>
      </c>
      <c r="BK110" s="127">
        <f ca="1">SUMIFS($B110:$BI110,$B$4:$BI$4,"&lt;=12")</f>
        <v>49000.653014940501</v>
      </c>
      <c r="BL110" s="127">
        <f ca="1">SUMIFS($B110:$BI110,$B$4:$BI$4,"&lt;=24",$B$4:$BI$4,"&gt;12")</f>
        <v>102713.65268520154</v>
      </c>
      <c r="BM110" s="127">
        <f ca="1">SUMIFS($B110:$BI110,$B$4:$BI$4,"&lt;=36",$B$4:$BI$4,"&gt;24")</f>
        <v>372076.85907207138</v>
      </c>
      <c r="BN110" s="127">
        <f ca="1">SUMIFS($B110:$BI110,$B$4:$BI$4,"&lt;=48",$B$4:$BI$4,"&gt;36")</f>
        <v>337775.94625435909</v>
      </c>
      <c r="BO110" s="127">
        <f ca="1">SUMIFS($B110:$BI110,$B$4:$BI$4,"&lt;=60",$B$4:$BI$4,"&gt;48")</f>
        <v>497063.83049455401</v>
      </c>
    </row>
    <row r="111" spans="1:67" ht="13.4" customHeight="1">
      <c r="A111" s="5" t="s">
        <v>91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97"/>
      <c r="BJ111" s="8" t="str">
        <f t="shared" si="29"/>
        <v>Development Costs</v>
      </c>
      <c r="BK111" s="6"/>
      <c r="BL111" s="6"/>
      <c r="BM111" s="6"/>
      <c r="BN111" s="6"/>
      <c r="BO111" s="6"/>
    </row>
    <row r="112" spans="1:67" ht="13.4" customHeight="1">
      <c r="A112" s="98" t="s">
        <v>92</v>
      </c>
      <c r="B112" s="27">
        <f ca="1">B90</f>
        <v>9104.2815548040799</v>
      </c>
      <c r="C112" s="27">
        <f t="shared" ref="C112:AH112" ca="1" si="48">IF(C90-B90&gt;0,C90-B90,0)</f>
        <v>8488.9461607469657</v>
      </c>
      <c r="D112" s="27">
        <f t="shared" ca="1" si="48"/>
        <v>16763.396800065784</v>
      </c>
      <c r="E112" s="27">
        <f t="shared" ca="1" si="48"/>
        <v>0</v>
      </c>
      <c r="F112" s="27">
        <f t="shared" ca="1" si="48"/>
        <v>8253.8656026564313</v>
      </c>
      <c r="G112" s="27">
        <f t="shared" ca="1" si="48"/>
        <v>23113.708555335521</v>
      </c>
      <c r="H112" s="27">
        <f t="shared" ca="1" si="48"/>
        <v>0</v>
      </c>
      <c r="I112" s="27">
        <f t="shared" ca="1" si="48"/>
        <v>21263.168998473106</v>
      </c>
      <c r="J112" s="27">
        <f t="shared" ca="1" si="48"/>
        <v>19634.037572864923</v>
      </c>
      <c r="K112" s="27">
        <f t="shared" ca="1" si="48"/>
        <v>0</v>
      </c>
      <c r="L112" s="27">
        <f t="shared" ca="1" si="48"/>
        <v>15880.227292404452</v>
      </c>
      <c r="M112" s="27">
        <f t="shared" ca="1" si="48"/>
        <v>0</v>
      </c>
      <c r="N112" s="27">
        <f t="shared" ca="1" si="48"/>
        <v>77630.660003076366</v>
      </c>
      <c r="O112" s="27">
        <f t="shared" ca="1" si="48"/>
        <v>0</v>
      </c>
      <c r="P112" s="27">
        <f t="shared" ca="1" si="48"/>
        <v>34266.565235468413</v>
      </c>
      <c r="Q112" s="27">
        <f t="shared" ca="1" si="48"/>
        <v>0</v>
      </c>
      <c r="R112" s="27">
        <f t="shared" ca="1" si="48"/>
        <v>21053.813158751931</v>
      </c>
      <c r="S112" s="27">
        <f t="shared" ca="1" si="48"/>
        <v>0</v>
      </c>
      <c r="T112" s="27">
        <f t="shared" ca="1" si="48"/>
        <v>6594.4609569839959</v>
      </c>
      <c r="U112" s="27">
        <f t="shared" ca="1" si="48"/>
        <v>0</v>
      </c>
      <c r="V112" s="27">
        <f t="shared" ca="1" si="48"/>
        <v>88816.859937906178</v>
      </c>
      <c r="W112" s="27">
        <f t="shared" ca="1" si="48"/>
        <v>28421.772420816938</v>
      </c>
      <c r="X112" s="27">
        <f t="shared" ca="1" si="48"/>
        <v>0</v>
      </c>
      <c r="Y112" s="27">
        <f t="shared" ca="1" si="48"/>
        <v>0</v>
      </c>
      <c r="Z112" s="27">
        <f t="shared" ca="1" si="48"/>
        <v>170238.74743673421</v>
      </c>
      <c r="AA112" s="27">
        <f t="shared" ca="1" si="48"/>
        <v>0</v>
      </c>
      <c r="AB112" s="27">
        <f t="shared" ca="1" si="48"/>
        <v>0</v>
      </c>
      <c r="AC112" s="27">
        <f t="shared" ca="1" si="48"/>
        <v>130086.66685703711</v>
      </c>
      <c r="AD112" s="27">
        <f t="shared" ca="1" si="48"/>
        <v>0</v>
      </c>
      <c r="AE112" s="27">
        <f t="shared" ca="1" si="48"/>
        <v>174566.65125705863</v>
      </c>
      <c r="AF112" s="27">
        <f t="shared" ca="1" si="48"/>
        <v>0</v>
      </c>
      <c r="AG112" s="27">
        <f t="shared" ca="1" si="48"/>
        <v>0</v>
      </c>
      <c r="AH112" s="27">
        <f t="shared" ca="1" si="48"/>
        <v>31738.317610840284</v>
      </c>
      <c r="AI112" s="27">
        <f t="shared" ref="AI112:BI112" ca="1" si="49">IF(AI90-AH90&gt;0,AI90-AH90,0)</f>
        <v>90879.762872026738</v>
      </c>
      <c r="AJ112" s="27">
        <f t="shared" ca="1" si="49"/>
        <v>332682.00164648163</v>
      </c>
      <c r="AK112" s="27">
        <f t="shared" ca="1" si="49"/>
        <v>0</v>
      </c>
      <c r="AL112" s="27">
        <f t="shared" ca="1" si="49"/>
        <v>185077.75116745778</v>
      </c>
      <c r="AM112" s="27">
        <f t="shared" ca="1" si="49"/>
        <v>45009.264425497502</v>
      </c>
      <c r="AN112" s="27">
        <f t="shared" ca="1" si="49"/>
        <v>0</v>
      </c>
      <c r="AO112" s="27">
        <f t="shared" ca="1" si="49"/>
        <v>0</v>
      </c>
      <c r="AP112" s="27">
        <f t="shared" ca="1" si="49"/>
        <v>50778.915026011266</v>
      </c>
      <c r="AQ112" s="27">
        <f t="shared" ca="1" si="49"/>
        <v>128836.61732555798</v>
      </c>
      <c r="AR112" s="27">
        <f t="shared" ca="1" si="49"/>
        <v>0</v>
      </c>
      <c r="AS112" s="27">
        <f t="shared" ca="1" si="49"/>
        <v>309697.40363390185</v>
      </c>
      <c r="AT112" s="27">
        <f t="shared" ca="1" si="49"/>
        <v>15715.497106108465</v>
      </c>
      <c r="AU112" s="27">
        <f t="shared" ca="1" si="49"/>
        <v>0</v>
      </c>
      <c r="AV112" s="27">
        <f t="shared" ca="1" si="49"/>
        <v>49728.116692686512</v>
      </c>
      <c r="AW112" s="27">
        <f t="shared" ca="1" si="49"/>
        <v>59596.300258676521</v>
      </c>
      <c r="AX112" s="27">
        <f t="shared" ca="1" si="49"/>
        <v>0</v>
      </c>
      <c r="AY112" s="27">
        <f t="shared" ca="1" si="49"/>
        <v>0</v>
      </c>
      <c r="AZ112" s="27">
        <f t="shared" ca="1" si="49"/>
        <v>183521.81985402748</v>
      </c>
      <c r="BA112" s="27">
        <f t="shared" ca="1" si="49"/>
        <v>0</v>
      </c>
      <c r="BB112" s="27">
        <f t="shared" ca="1" si="49"/>
        <v>149968.22832470213</v>
      </c>
      <c r="BC112" s="27">
        <f t="shared" ca="1" si="49"/>
        <v>247322.73709832306</v>
      </c>
      <c r="BD112" s="27">
        <f t="shared" ca="1" si="49"/>
        <v>553.89228275697678</v>
      </c>
      <c r="BE112" s="27">
        <f t="shared" ca="1" si="49"/>
        <v>264795.6538244437</v>
      </c>
      <c r="BF112" s="27">
        <f t="shared" ca="1" si="49"/>
        <v>0</v>
      </c>
      <c r="BG112" s="27">
        <f t="shared" ca="1" si="49"/>
        <v>0</v>
      </c>
      <c r="BH112" s="27">
        <f t="shared" ca="1" si="49"/>
        <v>0</v>
      </c>
      <c r="BI112" s="97">
        <f t="shared" ca="1" si="49"/>
        <v>396497.2448521317</v>
      </c>
      <c r="BJ112" s="10" t="str">
        <f t="shared" si="29"/>
        <v>Product Development</v>
      </c>
      <c r="BK112" s="127">
        <f ca="1">SUMIFS($B112:$BI112,$B$4:$BI$4,"&lt;=12")</f>
        <v>122501.63253735125</v>
      </c>
      <c r="BL112" s="127">
        <f ca="1">SUMIFS($B112:$BI112,$B$4:$BI$4,"&lt;=24",$B$4:$BI$4,"&gt;12")</f>
        <v>256784.13171300382</v>
      </c>
      <c r="BM112" s="127">
        <f ca="1">SUMIFS($B112:$BI112,$B$4:$BI$4,"&lt;=36",$B$4:$BI$4,"&gt;24")</f>
        <v>930192.14768017875</v>
      </c>
      <c r="BN112" s="127">
        <f ca="1">SUMIFS($B112:$BI112,$B$4:$BI$4,"&lt;=48",$B$4:$BI$4,"&gt;36")</f>
        <v>844439.86563589796</v>
      </c>
      <c r="BO112" s="127">
        <f ca="1">SUMIFS($B112:$BI112,$B$4:$BI$4,"&lt;=60",$B$4:$BI$4,"&gt;48")</f>
        <v>1242659.5762363849</v>
      </c>
    </row>
    <row r="113" spans="1:67" ht="13.4" customHeight="1">
      <c r="A113" s="10" t="s">
        <v>93</v>
      </c>
      <c r="B113" s="27">
        <f ca="1">B91</f>
        <v>3641.7126219216316</v>
      </c>
      <c r="C113" s="27">
        <f t="shared" ref="C113:AH113" ca="1" si="50">IF(C91-B91&gt;0,C91-B91,0)</f>
        <v>3395.5784642987865</v>
      </c>
      <c r="D113" s="27">
        <f t="shared" ca="1" si="50"/>
        <v>6705.3587200263146</v>
      </c>
      <c r="E113" s="27">
        <f t="shared" ca="1" si="50"/>
        <v>0</v>
      </c>
      <c r="F113" s="27">
        <f t="shared" ca="1" si="50"/>
        <v>3301.5462410625732</v>
      </c>
      <c r="G113" s="27">
        <f t="shared" ca="1" si="50"/>
        <v>9245.483422134208</v>
      </c>
      <c r="H113" s="27">
        <f t="shared" ca="1" si="50"/>
        <v>0</v>
      </c>
      <c r="I113" s="27">
        <f t="shared" ca="1" si="50"/>
        <v>8505.2675993892444</v>
      </c>
      <c r="J113" s="27">
        <f t="shared" ca="1" si="50"/>
        <v>7853.6150291459635</v>
      </c>
      <c r="K113" s="27">
        <f t="shared" ca="1" si="50"/>
        <v>0</v>
      </c>
      <c r="L113" s="27">
        <f t="shared" ca="1" si="50"/>
        <v>6352.0909169617807</v>
      </c>
      <c r="M113" s="27">
        <f t="shared" ca="1" si="50"/>
        <v>0</v>
      </c>
      <c r="N113" s="27">
        <f t="shared" ca="1" si="50"/>
        <v>31052.264001230546</v>
      </c>
      <c r="O113" s="27">
        <f t="shared" ca="1" si="50"/>
        <v>0</v>
      </c>
      <c r="P113" s="27">
        <f t="shared" ca="1" si="50"/>
        <v>13706.626094187362</v>
      </c>
      <c r="Q113" s="27">
        <f t="shared" ca="1" si="50"/>
        <v>0</v>
      </c>
      <c r="R113" s="27">
        <f t="shared" ca="1" si="50"/>
        <v>8421.5252635007782</v>
      </c>
      <c r="S113" s="27">
        <f t="shared" ca="1" si="50"/>
        <v>0</v>
      </c>
      <c r="T113" s="27">
        <f t="shared" ca="1" si="50"/>
        <v>2637.7843827936085</v>
      </c>
      <c r="U113" s="27">
        <f t="shared" ca="1" si="50"/>
        <v>0</v>
      </c>
      <c r="V113" s="27">
        <f t="shared" ca="1" si="50"/>
        <v>35526.74397516247</v>
      </c>
      <c r="W113" s="27">
        <f t="shared" ca="1" si="50"/>
        <v>11368.70896832677</v>
      </c>
      <c r="X113" s="27">
        <f t="shared" ca="1" si="50"/>
        <v>0</v>
      </c>
      <c r="Y113" s="27">
        <f t="shared" ca="1" si="50"/>
        <v>0</v>
      </c>
      <c r="Z113" s="27">
        <f t="shared" ca="1" si="50"/>
        <v>68095.498974693677</v>
      </c>
      <c r="AA113" s="27">
        <f t="shared" ca="1" si="50"/>
        <v>0</v>
      </c>
      <c r="AB113" s="27">
        <f t="shared" ca="1" si="50"/>
        <v>0</v>
      </c>
      <c r="AC113" s="27">
        <f t="shared" ca="1" si="50"/>
        <v>52034.666742814821</v>
      </c>
      <c r="AD113" s="27">
        <f t="shared" ca="1" si="50"/>
        <v>0</v>
      </c>
      <c r="AE113" s="27">
        <f t="shared" ca="1" si="50"/>
        <v>69826.660502823448</v>
      </c>
      <c r="AF113" s="27">
        <f t="shared" ca="1" si="50"/>
        <v>0</v>
      </c>
      <c r="AG113" s="27">
        <f t="shared" ca="1" si="50"/>
        <v>0</v>
      </c>
      <c r="AH113" s="27">
        <f t="shared" ca="1" si="50"/>
        <v>12695.327044336125</v>
      </c>
      <c r="AI113" s="27">
        <f t="shared" ref="AI113:BI113" ca="1" si="51">IF(AI91-AH91&gt;0,AI91-AH91,0)</f>
        <v>36351.905148810678</v>
      </c>
      <c r="AJ113" s="27">
        <f t="shared" ca="1" si="51"/>
        <v>133072.80065859263</v>
      </c>
      <c r="AK113" s="27">
        <f t="shared" ca="1" si="51"/>
        <v>0</v>
      </c>
      <c r="AL113" s="27">
        <f t="shared" ca="1" si="51"/>
        <v>74031.100466983102</v>
      </c>
      <c r="AM113" s="27">
        <f t="shared" ca="1" si="51"/>
        <v>18003.705770199012</v>
      </c>
      <c r="AN113" s="27">
        <f t="shared" ca="1" si="51"/>
        <v>0</v>
      </c>
      <c r="AO113" s="27">
        <f t="shared" ca="1" si="51"/>
        <v>0</v>
      </c>
      <c r="AP113" s="27">
        <f t="shared" ca="1" si="51"/>
        <v>20311.566010404509</v>
      </c>
      <c r="AQ113" s="27">
        <f t="shared" ca="1" si="51"/>
        <v>51534.646930223171</v>
      </c>
      <c r="AR113" s="27">
        <f t="shared" ca="1" si="51"/>
        <v>0</v>
      </c>
      <c r="AS113" s="27">
        <f t="shared" ca="1" si="51"/>
        <v>123878.96145356075</v>
      </c>
      <c r="AT113" s="27">
        <f t="shared" ca="1" si="51"/>
        <v>6286.1988424433803</v>
      </c>
      <c r="AU113" s="27">
        <f t="shared" ca="1" si="51"/>
        <v>0</v>
      </c>
      <c r="AV113" s="27">
        <f t="shared" ca="1" si="51"/>
        <v>19891.24667707461</v>
      </c>
      <c r="AW113" s="27">
        <f t="shared" ca="1" si="51"/>
        <v>23838.520103470568</v>
      </c>
      <c r="AX113" s="27">
        <f t="shared" ca="1" si="51"/>
        <v>0</v>
      </c>
      <c r="AY113" s="27">
        <f t="shared" ca="1" si="51"/>
        <v>0</v>
      </c>
      <c r="AZ113" s="27">
        <f t="shared" ca="1" si="51"/>
        <v>73408.727941610967</v>
      </c>
      <c r="BA113" s="27">
        <f t="shared" ca="1" si="51"/>
        <v>0</v>
      </c>
      <c r="BB113" s="27">
        <f t="shared" ca="1" si="51"/>
        <v>59987.291329880856</v>
      </c>
      <c r="BC113" s="27">
        <f t="shared" ca="1" si="51"/>
        <v>98929.094839329191</v>
      </c>
      <c r="BD113" s="27">
        <f t="shared" ca="1" si="51"/>
        <v>221.55691310280235</v>
      </c>
      <c r="BE113" s="27">
        <f t="shared" ca="1" si="51"/>
        <v>105918.26152977749</v>
      </c>
      <c r="BF113" s="27">
        <f t="shared" ca="1" si="51"/>
        <v>0</v>
      </c>
      <c r="BG113" s="27">
        <f t="shared" ca="1" si="51"/>
        <v>0</v>
      </c>
      <c r="BH113" s="27">
        <f t="shared" ca="1" si="51"/>
        <v>0</v>
      </c>
      <c r="BI113" s="97">
        <f t="shared" ca="1" si="51"/>
        <v>158598.89794085268</v>
      </c>
      <c r="BJ113" s="10" t="str">
        <f t="shared" si="29"/>
        <v>Research and Development</v>
      </c>
      <c r="BK113" s="127">
        <f ca="1">SUMIFS($B113:$BI113,$B$4:$BI$4,"&lt;=12")</f>
        <v>49000.653014940501</v>
      </c>
      <c r="BL113" s="127">
        <f ca="1">SUMIFS($B113:$BI113,$B$4:$BI$4,"&lt;=24",$B$4:$BI$4,"&gt;12")</f>
        <v>102713.65268520154</v>
      </c>
      <c r="BM113" s="127">
        <f ca="1">SUMIFS($B113:$BI113,$B$4:$BI$4,"&lt;=36",$B$4:$BI$4,"&gt;24")</f>
        <v>372076.85907207138</v>
      </c>
      <c r="BN113" s="127">
        <f ca="1">SUMIFS($B113:$BI113,$B$4:$BI$4,"&lt;=48",$B$4:$BI$4,"&gt;36")</f>
        <v>337775.94625435909</v>
      </c>
      <c r="BO113" s="127">
        <f ca="1">SUMIFS($B113:$BI113,$B$4:$BI$4,"&lt;=60",$B$4:$BI$4,"&gt;48")</f>
        <v>497063.83049455401</v>
      </c>
    </row>
    <row r="114" spans="1:67" ht="13.4" customHeight="1">
      <c r="A114" s="5" t="s">
        <v>94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97"/>
      <c r="BJ114" s="8" t="str">
        <f t="shared" si="29"/>
        <v>Intellectual Property</v>
      </c>
      <c r="BK114" s="6"/>
      <c r="BL114" s="6"/>
      <c r="BM114" s="6"/>
      <c r="BN114" s="6"/>
      <c r="BO114" s="6"/>
    </row>
    <row r="115" spans="1:67" ht="13.4" customHeight="1">
      <c r="A115" s="98" t="s">
        <v>95</v>
      </c>
      <c r="B115" s="27">
        <f ca="1">B93</f>
        <v>910.4281554804079</v>
      </c>
      <c r="C115" s="27">
        <f t="shared" ref="C115:AH115" ca="1" si="52">IF(C93-B93&gt;0,C93-B93,0)</f>
        <v>848.89461607469661</v>
      </c>
      <c r="D115" s="27">
        <f t="shared" ca="1" si="52"/>
        <v>1676.3396800065786</v>
      </c>
      <c r="E115" s="27">
        <f t="shared" ca="1" si="52"/>
        <v>0</v>
      </c>
      <c r="F115" s="27">
        <f t="shared" ca="1" si="52"/>
        <v>825.38656026564331</v>
      </c>
      <c r="G115" s="27">
        <f t="shared" ca="1" si="52"/>
        <v>2311.370855533552</v>
      </c>
      <c r="H115" s="27">
        <f t="shared" ca="1" si="52"/>
        <v>0</v>
      </c>
      <c r="I115" s="27">
        <f t="shared" ca="1" si="52"/>
        <v>2126.3168998473111</v>
      </c>
      <c r="J115" s="27">
        <f t="shared" ca="1" si="52"/>
        <v>1963.4037572864909</v>
      </c>
      <c r="K115" s="27">
        <f t="shared" ca="1" si="52"/>
        <v>0</v>
      </c>
      <c r="L115" s="27">
        <f t="shared" ca="1" si="52"/>
        <v>1588.0227292404452</v>
      </c>
      <c r="M115" s="27">
        <f t="shared" ca="1" si="52"/>
        <v>0</v>
      </c>
      <c r="N115" s="27">
        <f t="shared" ca="1" si="52"/>
        <v>7763.0660003076364</v>
      </c>
      <c r="O115" s="27">
        <f t="shared" ca="1" si="52"/>
        <v>0</v>
      </c>
      <c r="P115" s="27">
        <f t="shared" ca="1" si="52"/>
        <v>3426.6565235468406</v>
      </c>
      <c r="Q115" s="27">
        <f t="shared" ca="1" si="52"/>
        <v>0</v>
      </c>
      <c r="R115" s="27">
        <f t="shared" ca="1" si="52"/>
        <v>2105.3813158751946</v>
      </c>
      <c r="S115" s="27">
        <f t="shared" ca="1" si="52"/>
        <v>0</v>
      </c>
      <c r="T115" s="27">
        <f t="shared" ca="1" si="52"/>
        <v>659.44609569840213</v>
      </c>
      <c r="U115" s="27">
        <f t="shared" ca="1" si="52"/>
        <v>0</v>
      </c>
      <c r="V115" s="27">
        <f t="shared" ca="1" si="52"/>
        <v>8881.6859937906174</v>
      </c>
      <c r="W115" s="27">
        <f t="shared" ca="1" si="52"/>
        <v>2842.1772420816924</v>
      </c>
      <c r="X115" s="27">
        <f t="shared" ca="1" si="52"/>
        <v>0</v>
      </c>
      <c r="Y115" s="27">
        <f t="shared" ca="1" si="52"/>
        <v>0</v>
      </c>
      <c r="Z115" s="27">
        <f t="shared" ca="1" si="52"/>
        <v>17023.874743673419</v>
      </c>
      <c r="AA115" s="27">
        <f t="shared" ca="1" si="52"/>
        <v>0</v>
      </c>
      <c r="AB115" s="27">
        <f t="shared" ca="1" si="52"/>
        <v>0</v>
      </c>
      <c r="AC115" s="27">
        <f t="shared" ca="1" si="52"/>
        <v>13008.666685703705</v>
      </c>
      <c r="AD115" s="27">
        <f t="shared" ca="1" si="52"/>
        <v>0</v>
      </c>
      <c r="AE115" s="27">
        <f t="shared" ca="1" si="52"/>
        <v>17456.665125705862</v>
      </c>
      <c r="AF115" s="27">
        <f t="shared" ca="1" si="52"/>
        <v>0</v>
      </c>
      <c r="AG115" s="27">
        <f t="shared" ca="1" si="52"/>
        <v>0</v>
      </c>
      <c r="AH115" s="27">
        <f t="shared" ca="1" si="52"/>
        <v>3173.8317610840313</v>
      </c>
      <c r="AI115" s="27">
        <f t="shared" ref="AI115:BI115" ca="1" si="53">IF(AI93-AH93&gt;0,AI93-AH93,0)</f>
        <v>9087.9762872026695</v>
      </c>
      <c r="AJ115" s="27">
        <f t="shared" ca="1" si="53"/>
        <v>33268.200164648159</v>
      </c>
      <c r="AK115" s="27">
        <f t="shared" ca="1" si="53"/>
        <v>0</v>
      </c>
      <c r="AL115" s="27">
        <f t="shared" ca="1" si="53"/>
        <v>18507.775116745775</v>
      </c>
      <c r="AM115" s="27">
        <f t="shared" ca="1" si="53"/>
        <v>4500.9264425497531</v>
      </c>
      <c r="AN115" s="27">
        <f t="shared" ca="1" si="53"/>
        <v>0</v>
      </c>
      <c r="AO115" s="27">
        <f t="shared" ca="1" si="53"/>
        <v>0</v>
      </c>
      <c r="AP115" s="27">
        <f t="shared" ca="1" si="53"/>
        <v>5077.8915026011273</v>
      </c>
      <c r="AQ115" s="27">
        <f t="shared" ca="1" si="53"/>
        <v>12883.661732555793</v>
      </c>
      <c r="AR115" s="27">
        <f t="shared" ca="1" si="53"/>
        <v>0</v>
      </c>
      <c r="AS115" s="27">
        <f t="shared" ca="1" si="53"/>
        <v>30969.740363390189</v>
      </c>
      <c r="AT115" s="27">
        <f t="shared" ca="1" si="53"/>
        <v>1571.5497106108451</v>
      </c>
      <c r="AU115" s="27">
        <f t="shared" ca="1" si="53"/>
        <v>0</v>
      </c>
      <c r="AV115" s="27">
        <f t="shared" ca="1" si="53"/>
        <v>4972.8116692686526</v>
      </c>
      <c r="AW115" s="27">
        <f t="shared" ca="1" si="53"/>
        <v>5959.630025867642</v>
      </c>
      <c r="AX115" s="27">
        <f t="shared" ca="1" si="53"/>
        <v>0</v>
      </c>
      <c r="AY115" s="27">
        <f t="shared" ca="1" si="53"/>
        <v>0</v>
      </c>
      <c r="AZ115" s="27">
        <f t="shared" ca="1" si="53"/>
        <v>18352.181985402742</v>
      </c>
      <c r="BA115" s="27">
        <f t="shared" ca="1" si="53"/>
        <v>0</v>
      </c>
      <c r="BB115" s="27">
        <f t="shared" ca="1" si="53"/>
        <v>14996.822832470214</v>
      </c>
      <c r="BC115" s="27">
        <f t="shared" ca="1" si="53"/>
        <v>24732.273709832298</v>
      </c>
      <c r="BD115" s="27">
        <f t="shared" ca="1" si="53"/>
        <v>55.389228275700589</v>
      </c>
      <c r="BE115" s="27">
        <f t="shared" ca="1" si="53"/>
        <v>26479.565382444373</v>
      </c>
      <c r="BF115" s="27">
        <f t="shared" ca="1" si="53"/>
        <v>0</v>
      </c>
      <c r="BG115" s="27">
        <f t="shared" ca="1" si="53"/>
        <v>0</v>
      </c>
      <c r="BH115" s="27">
        <f t="shared" ca="1" si="53"/>
        <v>0</v>
      </c>
      <c r="BI115" s="97">
        <f t="shared" ca="1" si="53"/>
        <v>39649.72448521317</v>
      </c>
      <c r="BJ115" s="10" t="str">
        <f t="shared" si="29"/>
        <v>Patents and Trademarks</v>
      </c>
      <c r="BK115" s="115">
        <f ca="1">SUMIFS($B115:$BI115,$B$4:$BI$4,"&lt;=12")</f>
        <v>12250.163253735125</v>
      </c>
      <c r="BL115" s="115">
        <f ca="1">SUMIFS($B115:$BI115,$B$4:$BI$4,"&lt;=24",$B$4:$BI$4,"&gt;12")</f>
        <v>25678.413171300384</v>
      </c>
      <c r="BM115" s="115">
        <f ca="1">SUMIFS($B115:$BI115,$B$4:$BI$4,"&lt;=36",$B$4:$BI$4,"&gt;24")</f>
        <v>93019.214768017846</v>
      </c>
      <c r="BN115" s="115">
        <f ca="1">SUMIFS($B115:$BI115,$B$4:$BI$4,"&lt;=48",$B$4:$BI$4,"&gt;36")</f>
        <v>84443.986563589773</v>
      </c>
      <c r="BO115" s="115">
        <f ca="1">SUMIFS($B115:$BI115,$B$4:$BI$4,"&lt;=60",$B$4:$BI$4,"&gt;48")</f>
        <v>124265.9576236385</v>
      </c>
    </row>
    <row r="116" spans="1:67" ht="13.4" customHeight="1">
      <c r="A116" s="98" t="s">
        <v>96</v>
      </c>
      <c r="B116" s="27">
        <f ca="1">B94</f>
        <v>3641.7126219216316</v>
      </c>
      <c r="C116" s="27">
        <f t="shared" ref="C116:AH116" ca="1" si="54">IF(C94-B94&gt;0,C94-B94,0)</f>
        <v>3395.5784642987865</v>
      </c>
      <c r="D116" s="27">
        <f t="shared" ca="1" si="54"/>
        <v>6705.3587200263146</v>
      </c>
      <c r="E116" s="27">
        <f t="shared" ca="1" si="54"/>
        <v>0</v>
      </c>
      <c r="F116" s="27">
        <f t="shared" ca="1" si="54"/>
        <v>3301.5462410625732</v>
      </c>
      <c r="G116" s="27">
        <f t="shared" ca="1" si="54"/>
        <v>9245.483422134208</v>
      </c>
      <c r="H116" s="27">
        <f t="shared" ca="1" si="54"/>
        <v>0</v>
      </c>
      <c r="I116" s="27">
        <f t="shared" ca="1" si="54"/>
        <v>8505.2675993892444</v>
      </c>
      <c r="J116" s="27">
        <f t="shared" ca="1" si="54"/>
        <v>7853.6150291459635</v>
      </c>
      <c r="K116" s="27">
        <f t="shared" ca="1" si="54"/>
        <v>0</v>
      </c>
      <c r="L116" s="27">
        <f t="shared" ca="1" si="54"/>
        <v>6352.0909169617807</v>
      </c>
      <c r="M116" s="27">
        <f t="shared" ca="1" si="54"/>
        <v>0</v>
      </c>
      <c r="N116" s="27">
        <f t="shared" ca="1" si="54"/>
        <v>31052.264001230546</v>
      </c>
      <c r="O116" s="27">
        <f t="shared" ca="1" si="54"/>
        <v>0</v>
      </c>
      <c r="P116" s="27">
        <f t="shared" ca="1" si="54"/>
        <v>13706.626094187362</v>
      </c>
      <c r="Q116" s="27">
        <f t="shared" ca="1" si="54"/>
        <v>0</v>
      </c>
      <c r="R116" s="27">
        <f t="shared" ca="1" si="54"/>
        <v>8421.5252635007782</v>
      </c>
      <c r="S116" s="27">
        <f t="shared" ca="1" si="54"/>
        <v>0</v>
      </c>
      <c r="T116" s="27">
        <f t="shared" ca="1" si="54"/>
        <v>2637.7843827936085</v>
      </c>
      <c r="U116" s="27">
        <f t="shared" ca="1" si="54"/>
        <v>0</v>
      </c>
      <c r="V116" s="27">
        <f t="shared" ca="1" si="54"/>
        <v>35526.74397516247</v>
      </c>
      <c r="W116" s="27">
        <f t="shared" ca="1" si="54"/>
        <v>11368.70896832677</v>
      </c>
      <c r="X116" s="27">
        <f t="shared" ca="1" si="54"/>
        <v>0</v>
      </c>
      <c r="Y116" s="27">
        <f t="shared" ca="1" si="54"/>
        <v>0</v>
      </c>
      <c r="Z116" s="27">
        <f t="shared" ca="1" si="54"/>
        <v>68095.498974693677</v>
      </c>
      <c r="AA116" s="27">
        <f t="shared" ca="1" si="54"/>
        <v>0</v>
      </c>
      <c r="AB116" s="27">
        <f t="shared" ca="1" si="54"/>
        <v>0</v>
      </c>
      <c r="AC116" s="27">
        <f t="shared" ca="1" si="54"/>
        <v>52034.666742814821</v>
      </c>
      <c r="AD116" s="27">
        <f t="shared" ca="1" si="54"/>
        <v>0</v>
      </c>
      <c r="AE116" s="27">
        <f t="shared" ca="1" si="54"/>
        <v>69826.660502823448</v>
      </c>
      <c r="AF116" s="27">
        <f t="shared" ca="1" si="54"/>
        <v>0</v>
      </c>
      <c r="AG116" s="27">
        <f t="shared" ca="1" si="54"/>
        <v>0</v>
      </c>
      <c r="AH116" s="27">
        <f t="shared" ca="1" si="54"/>
        <v>12695.327044336125</v>
      </c>
      <c r="AI116" s="27">
        <f t="shared" ref="AI116:BI116" ca="1" si="55">IF(AI94-AH94&gt;0,AI94-AH94,0)</f>
        <v>36351.905148810678</v>
      </c>
      <c r="AJ116" s="27">
        <f t="shared" ca="1" si="55"/>
        <v>133072.80065859263</v>
      </c>
      <c r="AK116" s="27">
        <f t="shared" ca="1" si="55"/>
        <v>0</v>
      </c>
      <c r="AL116" s="27">
        <f t="shared" ca="1" si="55"/>
        <v>74031.100466983102</v>
      </c>
      <c r="AM116" s="27">
        <f t="shared" ca="1" si="55"/>
        <v>18003.705770199012</v>
      </c>
      <c r="AN116" s="27">
        <f t="shared" ca="1" si="55"/>
        <v>0</v>
      </c>
      <c r="AO116" s="27">
        <f t="shared" ca="1" si="55"/>
        <v>0</v>
      </c>
      <c r="AP116" s="27">
        <f t="shared" ca="1" si="55"/>
        <v>20311.566010404509</v>
      </c>
      <c r="AQ116" s="27">
        <f t="shared" ca="1" si="55"/>
        <v>51534.646930223171</v>
      </c>
      <c r="AR116" s="27">
        <f t="shared" ca="1" si="55"/>
        <v>0</v>
      </c>
      <c r="AS116" s="27">
        <f t="shared" ca="1" si="55"/>
        <v>123878.96145356075</v>
      </c>
      <c r="AT116" s="27">
        <f t="shared" ca="1" si="55"/>
        <v>6286.1988424433803</v>
      </c>
      <c r="AU116" s="27">
        <f t="shared" ca="1" si="55"/>
        <v>0</v>
      </c>
      <c r="AV116" s="27">
        <f t="shared" ca="1" si="55"/>
        <v>19891.24667707461</v>
      </c>
      <c r="AW116" s="27">
        <f t="shared" ca="1" si="55"/>
        <v>23838.520103470568</v>
      </c>
      <c r="AX116" s="27">
        <f t="shared" ca="1" si="55"/>
        <v>0</v>
      </c>
      <c r="AY116" s="27">
        <f t="shared" ca="1" si="55"/>
        <v>0</v>
      </c>
      <c r="AZ116" s="27">
        <f t="shared" ca="1" si="55"/>
        <v>73408.727941610967</v>
      </c>
      <c r="BA116" s="27">
        <f t="shared" ca="1" si="55"/>
        <v>0</v>
      </c>
      <c r="BB116" s="27">
        <f t="shared" ca="1" si="55"/>
        <v>59987.291329880856</v>
      </c>
      <c r="BC116" s="27">
        <f t="shared" ca="1" si="55"/>
        <v>98929.094839329191</v>
      </c>
      <c r="BD116" s="27">
        <f t="shared" ca="1" si="55"/>
        <v>221.55691310280235</v>
      </c>
      <c r="BE116" s="27">
        <f t="shared" ca="1" si="55"/>
        <v>105918.26152977749</v>
      </c>
      <c r="BF116" s="27">
        <f t="shared" ca="1" si="55"/>
        <v>0</v>
      </c>
      <c r="BG116" s="27">
        <f t="shared" ca="1" si="55"/>
        <v>0</v>
      </c>
      <c r="BH116" s="27">
        <f t="shared" ca="1" si="55"/>
        <v>0</v>
      </c>
      <c r="BI116" s="97">
        <f t="shared" ca="1" si="55"/>
        <v>158598.89794085268</v>
      </c>
      <c r="BJ116" s="10" t="str">
        <f t="shared" si="29"/>
        <v>Proprietary Technology</v>
      </c>
      <c r="BK116" s="115">
        <f ca="1">SUMIFS($B116:$BI116,$B$4:$BI$4,"&lt;=12")</f>
        <v>49000.653014940501</v>
      </c>
      <c r="BL116" s="115">
        <f ca="1">SUMIFS($B116:$BI116,$B$4:$BI$4,"&lt;=24",$B$4:$BI$4,"&gt;12")</f>
        <v>102713.65268520154</v>
      </c>
      <c r="BM116" s="115">
        <f ca="1">SUMIFS($B116:$BI116,$B$4:$BI$4,"&lt;=36",$B$4:$BI$4,"&gt;24")</f>
        <v>372076.85907207138</v>
      </c>
      <c r="BN116" s="115">
        <f ca="1">SUMIFS($B116:$BI116,$B$4:$BI$4,"&lt;=48",$B$4:$BI$4,"&gt;36")</f>
        <v>337775.94625435909</v>
      </c>
      <c r="BO116" s="115">
        <f ca="1">SUMIFS($B116:$BI116,$B$4:$BI$4,"&lt;=60",$B$4:$BI$4,"&gt;48")</f>
        <v>497063.83049455401</v>
      </c>
    </row>
    <row r="117" spans="1:67" ht="13.4" customHeight="1">
      <c r="A117" s="5" t="s">
        <v>97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97"/>
      <c r="BJ117" s="8" t="str">
        <f t="shared" si="29"/>
        <v>Cloud Services</v>
      </c>
      <c r="BK117" s="6"/>
      <c r="BL117" s="6"/>
      <c r="BM117" s="6"/>
      <c r="BN117" s="6"/>
      <c r="BO117" s="6"/>
    </row>
    <row r="118" spans="1:67" ht="13.4" customHeight="1">
      <c r="A118" s="98" t="s">
        <v>98</v>
      </c>
      <c r="B118" s="27">
        <f ca="1">B96</f>
        <v>5462.5689328824474</v>
      </c>
      <c r="C118" s="27">
        <f t="shared" ref="C118:AH118" ca="1" si="56">IF(C96-B96&gt;0,C96-B96,0)</f>
        <v>5093.3676964481792</v>
      </c>
      <c r="D118" s="27">
        <f t="shared" ca="1" si="56"/>
        <v>10058.038080039471</v>
      </c>
      <c r="E118" s="27">
        <f t="shared" ca="1" si="56"/>
        <v>0</v>
      </c>
      <c r="F118" s="27">
        <f t="shared" ca="1" si="56"/>
        <v>4952.319361593858</v>
      </c>
      <c r="G118" s="27">
        <f t="shared" ca="1" si="56"/>
        <v>13868.225133201307</v>
      </c>
      <c r="H118" s="27">
        <f t="shared" ca="1" si="56"/>
        <v>0</v>
      </c>
      <c r="I118" s="27">
        <f t="shared" ca="1" si="56"/>
        <v>12757.901399083858</v>
      </c>
      <c r="J118" s="27">
        <f t="shared" ca="1" si="56"/>
        <v>11780.422543718953</v>
      </c>
      <c r="K118" s="27">
        <f t="shared" ca="1" si="56"/>
        <v>0</v>
      </c>
      <c r="L118" s="27">
        <f t="shared" ca="1" si="56"/>
        <v>9528.1363754426711</v>
      </c>
      <c r="M118" s="27">
        <f t="shared" ca="1" si="56"/>
        <v>0</v>
      </c>
      <c r="N118" s="27">
        <f t="shared" ca="1" si="56"/>
        <v>46578.396001845816</v>
      </c>
      <c r="O118" s="27">
        <f t="shared" ca="1" si="56"/>
        <v>0</v>
      </c>
      <c r="P118" s="27">
        <f t="shared" ca="1" si="56"/>
        <v>20559.939141281051</v>
      </c>
      <c r="Q118" s="27">
        <f t="shared" ca="1" si="56"/>
        <v>0</v>
      </c>
      <c r="R118" s="27">
        <f t="shared" ca="1" si="56"/>
        <v>12632.287895251153</v>
      </c>
      <c r="S118" s="27">
        <f t="shared" ca="1" si="56"/>
        <v>0</v>
      </c>
      <c r="T118" s="27">
        <f t="shared" ca="1" si="56"/>
        <v>3956.6765741904092</v>
      </c>
      <c r="U118" s="27">
        <f t="shared" ca="1" si="56"/>
        <v>0</v>
      </c>
      <c r="V118" s="27">
        <f t="shared" ca="1" si="56"/>
        <v>53290.115962743686</v>
      </c>
      <c r="W118" s="27">
        <f t="shared" ca="1" si="56"/>
        <v>17053.063452490169</v>
      </c>
      <c r="X118" s="27">
        <f t="shared" ca="1" si="56"/>
        <v>0</v>
      </c>
      <c r="Y118" s="27">
        <f t="shared" ca="1" si="56"/>
        <v>0</v>
      </c>
      <c r="Z118" s="27">
        <f t="shared" ca="1" si="56"/>
        <v>102143.2484620405</v>
      </c>
      <c r="AA118" s="27">
        <f t="shared" ca="1" si="56"/>
        <v>0</v>
      </c>
      <c r="AB118" s="27">
        <f t="shared" ca="1" si="56"/>
        <v>0</v>
      </c>
      <c r="AC118" s="27">
        <f t="shared" ca="1" si="56"/>
        <v>78052.000114222232</v>
      </c>
      <c r="AD118" s="27">
        <f t="shared" ca="1" si="56"/>
        <v>0</v>
      </c>
      <c r="AE118" s="27">
        <f t="shared" ca="1" si="56"/>
        <v>104739.99075423519</v>
      </c>
      <c r="AF118" s="27">
        <f t="shared" ca="1" si="56"/>
        <v>0</v>
      </c>
      <c r="AG118" s="27">
        <f t="shared" ca="1" si="56"/>
        <v>0</v>
      </c>
      <c r="AH118" s="27">
        <f t="shared" ca="1" si="56"/>
        <v>19042.990566504173</v>
      </c>
      <c r="AI118" s="27">
        <f t="shared" ref="AI118:BI118" ca="1" si="57">IF(AI96-AH96&gt;0,AI96-AH96,0)</f>
        <v>54527.857723216017</v>
      </c>
      <c r="AJ118" s="27">
        <f t="shared" ca="1" si="57"/>
        <v>199609.20098788894</v>
      </c>
      <c r="AK118" s="27">
        <f t="shared" ca="1" si="57"/>
        <v>0</v>
      </c>
      <c r="AL118" s="27">
        <f t="shared" ca="1" si="57"/>
        <v>111046.65070047465</v>
      </c>
      <c r="AM118" s="27">
        <f t="shared" ca="1" si="57"/>
        <v>27005.55865529849</v>
      </c>
      <c r="AN118" s="27">
        <f t="shared" ca="1" si="57"/>
        <v>0</v>
      </c>
      <c r="AO118" s="27">
        <f t="shared" ca="1" si="57"/>
        <v>0</v>
      </c>
      <c r="AP118" s="27">
        <f t="shared" ca="1" si="57"/>
        <v>30467.349015606756</v>
      </c>
      <c r="AQ118" s="27">
        <f t="shared" ca="1" si="57"/>
        <v>77301.970395334793</v>
      </c>
      <c r="AR118" s="27">
        <f t="shared" ca="1" si="57"/>
        <v>0</v>
      </c>
      <c r="AS118" s="27">
        <f t="shared" ca="1" si="57"/>
        <v>185818.44218034114</v>
      </c>
      <c r="AT118" s="27">
        <f t="shared" ca="1" si="57"/>
        <v>9429.2982636650559</v>
      </c>
      <c r="AU118" s="27">
        <f t="shared" ca="1" si="57"/>
        <v>0</v>
      </c>
      <c r="AV118" s="27">
        <f t="shared" ca="1" si="57"/>
        <v>29836.87001561193</v>
      </c>
      <c r="AW118" s="27">
        <f t="shared" ca="1" si="57"/>
        <v>35757.780155205808</v>
      </c>
      <c r="AX118" s="27">
        <f t="shared" ca="1" si="57"/>
        <v>0</v>
      </c>
      <c r="AY118" s="27">
        <f t="shared" ca="1" si="57"/>
        <v>0</v>
      </c>
      <c r="AZ118" s="27">
        <f t="shared" ca="1" si="57"/>
        <v>110113.09191241645</v>
      </c>
      <c r="BA118" s="27">
        <f t="shared" ca="1" si="57"/>
        <v>0</v>
      </c>
      <c r="BB118" s="27">
        <f t="shared" ca="1" si="57"/>
        <v>89980.936994821299</v>
      </c>
      <c r="BC118" s="27">
        <f t="shared" ca="1" si="57"/>
        <v>148393.64225899376</v>
      </c>
      <c r="BD118" s="27">
        <f t="shared" ca="1" si="57"/>
        <v>332.33536965417443</v>
      </c>
      <c r="BE118" s="27">
        <f t="shared" ca="1" si="57"/>
        <v>158877.39229466626</v>
      </c>
      <c r="BF118" s="27">
        <f t="shared" ca="1" si="57"/>
        <v>0</v>
      </c>
      <c r="BG118" s="27">
        <f t="shared" ca="1" si="57"/>
        <v>0</v>
      </c>
      <c r="BH118" s="27">
        <f t="shared" ca="1" si="57"/>
        <v>0</v>
      </c>
      <c r="BI118" s="97">
        <f t="shared" ca="1" si="57"/>
        <v>237898.34691127902</v>
      </c>
      <c r="BJ118" s="10" t="str">
        <f t="shared" si="29"/>
        <v>Long-term Cloud Contracts</v>
      </c>
      <c r="BK118" s="115">
        <f ca="1">SUMIFS($B118:$BI118,$B$4:$BI$4,"&lt;=12")</f>
        <v>73500.979522410751</v>
      </c>
      <c r="BL118" s="115">
        <f ca="1">SUMIFS($B118:$BI118,$B$4:$BI$4,"&lt;=24",$B$4:$BI$4,"&gt;12")</f>
        <v>154070.47902780227</v>
      </c>
      <c r="BM118" s="115">
        <f ca="1">SUMIFS($B118:$BI118,$B$4:$BI$4,"&lt;=36",$B$4:$BI$4,"&gt;24")</f>
        <v>558115.28860810702</v>
      </c>
      <c r="BN118" s="115">
        <f ca="1">SUMIFS($B118:$BI118,$B$4:$BI$4,"&lt;=48",$B$4:$BI$4,"&gt;36")</f>
        <v>506663.91938153864</v>
      </c>
      <c r="BO118" s="115">
        <f ca="1">SUMIFS($B118:$BI118,$B$4:$BI$4,"&lt;=60",$B$4:$BI$4,"&gt;48")</f>
        <v>745595.74574183091</v>
      </c>
    </row>
    <row r="119" spans="1:67" ht="13.4" customHeight="1">
      <c r="A119" s="5" t="s">
        <v>99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97"/>
      <c r="BJ119" s="8" t="str">
        <f t="shared" si="29"/>
        <v>Security</v>
      </c>
      <c r="BK119" s="6"/>
      <c r="BL119" s="6"/>
      <c r="BM119" s="6"/>
      <c r="BN119" s="6"/>
      <c r="BO119" s="6"/>
    </row>
    <row r="120" spans="1:67" ht="13.4" customHeight="1">
      <c r="A120" s="98" t="s">
        <v>100</v>
      </c>
      <c r="B120" s="27">
        <f ca="1">B98</f>
        <v>3641.7126219216316</v>
      </c>
      <c r="C120" s="27">
        <f t="shared" ref="C120:AH120" ca="1" si="58">IF(C98-B98&gt;0,C98-B98,0)</f>
        <v>3395.5784642987865</v>
      </c>
      <c r="D120" s="27">
        <f t="shared" ca="1" si="58"/>
        <v>6705.3587200263146</v>
      </c>
      <c r="E120" s="27">
        <f t="shared" ca="1" si="58"/>
        <v>0</v>
      </c>
      <c r="F120" s="27">
        <f t="shared" ca="1" si="58"/>
        <v>3301.5462410625732</v>
      </c>
      <c r="G120" s="27">
        <f t="shared" ca="1" si="58"/>
        <v>9245.483422134208</v>
      </c>
      <c r="H120" s="27">
        <f t="shared" ca="1" si="58"/>
        <v>0</v>
      </c>
      <c r="I120" s="27">
        <f t="shared" ca="1" si="58"/>
        <v>8505.2675993892444</v>
      </c>
      <c r="J120" s="27">
        <f t="shared" ca="1" si="58"/>
        <v>7853.6150291459635</v>
      </c>
      <c r="K120" s="27">
        <f t="shared" ca="1" si="58"/>
        <v>0</v>
      </c>
      <c r="L120" s="27">
        <f t="shared" ca="1" si="58"/>
        <v>6352.0909169617807</v>
      </c>
      <c r="M120" s="27">
        <f t="shared" ca="1" si="58"/>
        <v>0</v>
      </c>
      <c r="N120" s="27">
        <f t="shared" ca="1" si="58"/>
        <v>31052.264001230546</v>
      </c>
      <c r="O120" s="27">
        <f t="shared" ca="1" si="58"/>
        <v>0</v>
      </c>
      <c r="P120" s="27">
        <f t="shared" ca="1" si="58"/>
        <v>13706.626094187362</v>
      </c>
      <c r="Q120" s="27">
        <f t="shared" ca="1" si="58"/>
        <v>0</v>
      </c>
      <c r="R120" s="27">
        <f t="shared" ca="1" si="58"/>
        <v>8421.5252635007782</v>
      </c>
      <c r="S120" s="27">
        <f t="shared" ca="1" si="58"/>
        <v>0</v>
      </c>
      <c r="T120" s="27">
        <f t="shared" ca="1" si="58"/>
        <v>2637.7843827936085</v>
      </c>
      <c r="U120" s="27">
        <f t="shared" ca="1" si="58"/>
        <v>0</v>
      </c>
      <c r="V120" s="27">
        <f t="shared" ca="1" si="58"/>
        <v>35526.74397516247</v>
      </c>
      <c r="W120" s="27">
        <f t="shared" ca="1" si="58"/>
        <v>11368.70896832677</v>
      </c>
      <c r="X120" s="27">
        <f t="shared" ca="1" si="58"/>
        <v>0</v>
      </c>
      <c r="Y120" s="27">
        <f t="shared" ca="1" si="58"/>
        <v>0</v>
      </c>
      <c r="Z120" s="27">
        <f t="shared" ca="1" si="58"/>
        <v>68095.498974693677</v>
      </c>
      <c r="AA120" s="27">
        <f t="shared" ca="1" si="58"/>
        <v>0</v>
      </c>
      <c r="AB120" s="27">
        <f t="shared" ca="1" si="58"/>
        <v>0</v>
      </c>
      <c r="AC120" s="27">
        <f t="shared" ca="1" si="58"/>
        <v>52034.666742814821</v>
      </c>
      <c r="AD120" s="27">
        <f t="shared" ca="1" si="58"/>
        <v>0</v>
      </c>
      <c r="AE120" s="27">
        <f t="shared" ca="1" si="58"/>
        <v>69826.660502823448</v>
      </c>
      <c r="AF120" s="27">
        <f t="shared" ca="1" si="58"/>
        <v>0</v>
      </c>
      <c r="AG120" s="27">
        <f t="shared" ca="1" si="58"/>
        <v>0</v>
      </c>
      <c r="AH120" s="27">
        <f t="shared" ca="1" si="58"/>
        <v>12695.327044336125</v>
      </c>
      <c r="AI120" s="27">
        <f t="shared" ref="AI120:BI120" ca="1" si="59">IF(AI98-AH98&gt;0,AI98-AH98,0)</f>
        <v>36351.905148810678</v>
      </c>
      <c r="AJ120" s="27">
        <f t="shared" ca="1" si="59"/>
        <v>133072.80065859263</v>
      </c>
      <c r="AK120" s="27">
        <f t="shared" ca="1" si="59"/>
        <v>0</v>
      </c>
      <c r="AL120" s="27">
        <f t="shared" ca="1" si="59"/>
        <v>74031.100466983102</v>
      </c>
      <c r="AM120" s="27">
        <f t="shared" ca="1" si="59"/>
        <v>18003.705770199012</v>
      </c>
      <c r="AN120" s="27">
        <f t="shared" ca="1" si="59"/>
        <v>0</v>
      </c>
      <c r="AO120" s="27">
        <f t="shared" ca="1" si="59"/>
        <v>0</v>
      </c>
      <c r="AP120" s="27">
        <f t="shared" ca="1" si="59"/>
        <v>20311.566010404509</v>
      </c>
      <c r="AQ120" s="27">
        <f t="shared" ca="1" si="59"/>
        <v>51534.646930223171</v>
      </c>
      <c r="AR120" s="27">
        <f t="shared" ca="1" si="59"/>
        <v>0</v>
      </c>
      <c r="AS120" s="27">
        <f t="shared" ca="1" si="59"/>
        <v>123878.96145356075</v>
      </c>
      <c r="AT120" s="27">
        <f t="shared" ca="1" si="59"/>
        <v>6286.1988424433803</v>
      </c>
      <c r="AU120" s="27">
        <f t="shared" ca="1" si="59"/>
        <v>0</v>
      </c>
      <c r="AV120" s="27">
        <f t="shared" ca="1" si="59"/>
        <v>19891.24667707461</v>
      </c>
      <c r="AW120" s="27">
        <f t="shared" ca="1" si="59"/>
        <v>23838.520103470568</v>
      </c>
      <c r="AX120" s="27">
        <f t="shared" ca="1" si="59"/>
        <v>0</v>
      </c>
      <c r="AY120" s="27">
        <f t="shared" ca="1" si="59"/>
        <v>0</v>
      </c>
      <c r="AZ120" s="27">
        <f t="shared" ca="1" si="59"/>
        <v>73408.727941610967</v>
      </c>
      <c r="BA120" s="27">
        <f t="shared" ca="1" si="59"/>
        <v>0</v>
      </c>
      <c r="BB120" s="27">
        <f t="shared" ca="1" si="59"/>
        <v>59987.291329880856</v>
      </c>
      <c r="BC120" s="27">
        <f t="shared" ca="1" si="59"/>
        <v>98929.094839329191</v>
      </c>
      <c r="BD120" s="27">
        <f t="shared" ca="1" si="59"/>
        <v>221.55691310280235</v>
      </c>
      <c r="BE120" s="27">
        <f t="shared" ca="1" si="59"/>
        <v>105918.26152977749</v>
      </c>
      <c r="BF120" s="27">
        <f t="shared" ca="1" si="59"/>
        <v>0</v>
      </c>
      <c r="BG120" s="27">
        <f t="shared" ca="1" si="59"/>
        <v>0</v>
      </c>
      <c r="BH120" s="27">
        <f t="shared" ca="1" si="59"/>
        <v>0</v>
      </c>
      <c r="BI120" s="97">
        <f t="shared" ca="1" si="59"/>
        <v>158598.89794085268</v>
      </c>
      <c r="BJ120" s="10" t="str">
        <f t="shared" si="29"/>
        <v>Cybersecurity Infrastructure</v>
      </c>
      <c r="BK120" s="115">
        <f ca="1">SUMIFS($B120:$BI120,$B$4:$BI$4,"&lt;=12")</f>
        <v>49000.653014940501</v>
      </c>
      <c r="BL120" s="115">
        <f ca="1">SUMIFS($B120:$BI120,$B$4:$BI$4,"&lt;=24",$B$4:$BI$4,"&gt;12")</f>
        <v>102713.65268520154</v>
      </c>
      <c r="BM120" s="115">
        <f ca="1">SUMIFS($B120:$BI120,$B$4:$BI$4,"&lt;=36",$B$4:$BI$4,"&gt;24")</f>
        <v>372076.85907207138</v>
      </c>
      <c r="BN120" s="115">
        <f ca="1">SUMIFS($B120:$BI120,$B$4:$BI$4,"&lt;=48",$B$4:$BI$4,"&gt;36")</f>
        <v>337775.94625435909</v>
      </c>
      <c r="BO120" s="115">
        <f ca="1">SUMIFS($B120:$BI120,$B$4:$BI$4,"&lt;=60",$B$4:$BI$4,"&gt;48")</f>
        <v>497063.83049455401</v>
      </c>
    </row>
    <row r="121" spans="1:67" ht="13.4" customHeight="1">
      <c r="A121" s="6"/>
      <c r="B121" s="6"/>
      <c r="C121" s="6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13"/>
      <c r="BJ121" s="19">
        <f t="shared" si="29"/>
        <v>0</v>
      </c>
      <c r="BK121" s="6"/>
      <c r="BL121" s="6"/>
      <c r="BM121" s="6"/>
      <c r="BN121" s="6"/>
      <c r="BO121" s="6"/>
    </row>
    <row r="122" spans="1:67" ht="13.4" customHeight="1">
      <c r="A122" s="89" t="s">
        <v>249</v>
      </c>
      <c r="B122" s="27">
        <f t="shared" ref="B122:AG122" ca="1" si="60">SUM(B103:B120)</f>
        <v>44610.979618539983</v>
      </c>
      <c r="C122" s="27">
        <f t="shared" ca="1" si="60"/>
        <v>41595.836187660134</v>
      </c>
      <c r="D122" s="27">
        <f t="shared" ca="1" si="60"/>
        <v>82140.644320322346</v>
      </c>
      <c r="E122" s="27">
        <f t="shared" ca="1" si="60"/>
        <v>0</v>
      </c>
      <c r="F122" s="27">
        <f t="shared" ca="1" si="60"/>
        <v>40443.941453016523</v>
      </c>
      <c r="G122" s="27">
        <f t="shared" ca="1" si="60"/>
        <v>113257.17192114402</v>
      </c>
      <c r="H122" s="27">
        <f t="shared" ca="1" si="60"/>
        <v>0</v>
      </c>
      <c r="I122" s="27">
        <f t="shared" ca="1" si="60"/>
        <v>104189.52809251823</v>
      </c>
      <c r="J122" s="27">
        <f t="shared" ca="1" si="60"/>
        <v>96206.784107038082</v>
      </c>
      <c r="K122" s="27">
        <f t="shared" ca="1" si="60"/>
        <v>0</v>
      </c>
      <c r="L122" s="27">
        <f t="shared" ca="1" si="60"/>
        <v>77813.113732781814</v>
      </c>
      <c r="M122" s="27">
        <f t="shared" ca="1" si="60"/>
        <v>0</v>
      </c>
      <c r="N122" s="27">
        <f t="shared" ca="1" si="60"/>
        <v>380390.23401507415</v>
      </c>
      <c r="O122" s="27">
        <f t="shared" ca="1" si="60"/>
        <v>0</v>
      </c>
      <c r="P122" s="27">
        <f t="shared" ca="1" si="60"/>
        <v>167906.16965379525</v>
      </c>
      <c r="Q122" s="27">
        <f t="shared" ca="1" si="60"/>
        <v>0</v>
      </c>
      <c r="R122" s="27">
        <f t="shared" ca="1" si="60"/>
        <v>103163.6844778845</v>
      </c>
      <c r="S122" s="27">
        <f t="shared" ca="1" si="60"/>
        <v>0</v>
      </c>
      <c r="T122" s="27">
        <f t="shared" ca="1" si="60"/>
        <v>32312.85868922167</v>
      </c>
      <c r="U122" s="27">
        <f t="shared" ca="1" si="60"/>
        <v>0</v>
      </c>
      <c r="V122" s="27">
        <f t="shared" ca="1" si="60"/>
        <v>435202.61369574023</v>
      </c>
      <c r="W122" s="27">
        <f t="shared" ca="1" si="60"/>
        <v>139266.68486200296</v>
      </c>
      <c r="X122" s="27">
        <f t="shared" ca="1" si="60"/>
        <v>0</v>
      </c>
      <c r="Y122" s="27">
        <f t="shared" ca="1" si="60"/>
        <v>0</v>
      </c>
      <c r="Z122" s="27">
        <f t="shared" ca="1" si="60"/>
        <v>834169.86243999749</v>
      </c>
      <c r="AA122" s="27">
        <f t="shared" ca="1" si="60"/>
        <v>0</v>
      </c>
      <c r="AB122" s="27">
        <f t="shared" ca="1" si="60"/>
        <v>0</v>
      </c>
      <c r="AC122" s="27">
        <f t="shared" ca="1" si="60"/>
        <v>637424.66759948165</v>
      </c>
      <c r="AD122" s="27">
        <f t="shared" ca="1" si="60"/>
        <v>0</v>
      </c>
      <c r="AE122" s="27">
        <f t="shared" ca="1" si="60"/>
        <v>855376.59115958714</v>
      </c>
      <c r="AF122" s="27">
        <f t="shared" ca="1" si="60"/>
        <v>0</v>
      </c>
      <c r="AG122" s="27">
        <f t="shared" ca="1" si="60"/>
        <v>0</v>
      </c>
      <c r="AH122" s="27">
        <f t="shared" ref="AH122:BI122" ca="1" si="61">SUM(AH103:AH120)</f>
        <v>155517.75629311748</v>
      </c>
      <c r="AI122" s="27">
        <f t="shared" ca="1" si="61"/>
        <v>445310.83807293081</v>
      </c>
      <c r="AJ122" s="27">
        <f t="shared" ca="1" si="61"/>
        <v>1630141.8080677602</v>
      </c>
      <c r="AK122" s="27">
        <f t="shared" ca="1" si="61"/>
        <v>0</v>
      </c>
      <c r="AL122" s="27">
        <f t="shared" ca="1" si="61"/>
        <v>906880.98072054307</v>
      </c>
      <c r="AM122" s="27">
        <f t="shared" ca="1" si="61"/>
        <v>220545.39568493783</v>
      </c>
      <c r="AN122" s="27">
        <f t="shared" ca="1" si="61"/>
        <v>0</v>
      </c>
      <c r="AO122" s="27">
        <f t="shared" ca="1" si="61"/>
        <v>0</v>
      </c>
      <c r="AP122" s="27">
        <f t="shared" ca="1" si="61"/>
        <v>248816.6836274552</v>
      </c>
      <c r="AQ122" s="27">
        <f t="shared" ca="1" si="61"/>
        <v>631299.42489523394</v>
      </c>
      <c r="AR122" s="27">
        <f t="shared" ca="1" si="61"/>
        <v>0</v>
      </c>
      <c r="AS122" s="27">
        <f t="shared" ca="1" si="61"/>
        <v>1517517.2778061193</v>
      </c>
      <c r="AT122" s="27">
        <f t="shared" ca="1" si="61"/>
        <v>77005.935819931387</v>
      </c>
      <c r="AU122" s="27">
        <f t="shared" ca="1" si="61"/>
        <v>0</v>
      </c>
      <c r="AV122" s="27">
        <f t="shared" ca="1" si="61"/>
        <v>243667.771794164</v>
      </c>
      <c r="AW122" s="27">
        <f t="shared" ca="1" si="61"/>
        <v>292021.87126751442</v>
      </c>
      <c r="AX122" s="27">
        <f t="shared" ca="1" si="61"/>
        <v>0</v>
      </c>
      <c r="AY122" s="27">
        <f t="shared" ca="1" si="61"/>
        <v>0</v>
      </c>
      <c r="AZ122" s="27">
        <f t="shared" ca="1" si="61"/>
        <v>899256.91728473443</v>
      </c>
      <c r="BA122" s="27">
        <f t="shared" ca="1" si="61"/>
        <v>0</v>
      </c>
      <c r="BB122" s="27">
        <f t="shared" ca="1" si="61"/>
        <v>734844.31879104034</v>
      </c>
      <c r="BC122" s="27">
        <f t="shared" ca="1" si="61"/>
        <v>1211881.4117817825</v>
      </c>
      <c r="BD122" s="27">
        <f t="shared" ca="1" si="61"/>
        <v>2714.0721855092415</v>
      </c>
      <c r="BE122" s="27">
        <f t="shared" ca="1" si="61"/>
        <v>1297498.7037397742</v>
      </c>
      <c r="BF122" s="27">
        <f t="shared" ca="1" si="61"/>
        <v>0</v>
      </c>
      <c r="BG122" s="27">
        <f t="shared" ca="1" si="61"/>
        <v>0</v>
      </c>
      <c r="BH122" s="27">
        <f t="shared" ca="1" si="61"/>
        <v>0</v>
      </c>
      <c r="BI122" s="97">
        <f t="shared" ca="1" si="61"/>
        <v>1942836.4997754453</v>
      </c>
      <c r="BJ122" s="92" t="str">
        <f t="shared" si="29"/>
        <v>Total Capital Expenditure</v>
      </c>
      <c r="BK122" s="115">
        <f ca="1">SUMIFS($B122:$BI122,$B$4:$BI$4,"&lt;=12")</f>
        <v>600257.99943302118</v>
      </c>
      <c r="BL122" s="115">
        <f ca="1">SUMIFS($B122:$BI122,$B$4:$BI$4,"&lt;=24",$B$4:$BI$4,"&gt;12")</f>
        <v>1258242.2453937188</v>
      </c>
      <c r="BM122" s="115">
        <f ca="1">SUMIFS($B122:$BI122,$B$4:$BI$4,"&lt;=36",$B$4:$BI$4,"&gt;24")</f>
        <v>4557941.5236328747</v>
      </c>
      <c r="BN122" s="115">
        <f ca="1">SUMIFS($B122:$BI122,$B$4:$BI$4,"&lt;=48",$B$4:$BI$4,"&gt;36")</f>
        <v>4137755.341615899</v>
      </c>
      <c r="BO122" s="115">
        <f ca="1">SUMIFS($B122:$BI122,$B$4:$BI$4,"&lt;=60",$B$4:$BI$4,"&gt;48")</f>
        <v>6089031.9235582855</v>
      </c>
    </row>
    <row r="123" spans="1:67" ht="13.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13"/>
      <c r="BJ123" s="17">
        <f t="shared" si="29"/>
        <v>0</v>
      </c>
      <c r="BK123" s="4"/>
      <c r="BL123" s="4"/>
      <c r="BM123" s="4"/>
      <c r="BN123" s="4"/>
      <c r="BO123" s="4"/>
    </row>
    <row r="124" spans="1:67" ht="12.95" customHeight="1">
      <c r="A124" s="135" t="s">
        <v>250</v>
      </c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6" t="str">
        <f t="shared" si="29"/>
        <v>Depreciable Asset Schedule ( Existing and New)</v>
      </c>
      <c r="BK124" s="84"/>
      <c r="BL124" s="84"/>
      <c r="BM124" s="84"/>
      <c r="BN124" s="84"/>
      <c r="BO124" s="84"/>
    </row>
    <row r="125" spans="1:67" ht="12.95" customHeight="1">
      <c r="A125" s="121"/>
      <c r="B125" s="122" t="s">
        <v>151</v>
      </c>
      <c r="C125" s="122" t="s">
        <v>152</v>
      </c>
      <c r="D125" s="122" t="s">
        <v>153</v>
      </c>
      <c r="E125" s="122" t="s">
        <v>154</v>
      </c>
      <c r="F125" s="122" t="s">
        <v>155</v>
      </c>
      <c r="G125" s="122" t="s">
        <v>156</v>
      </c>
      <c r="H125" s="122" t="s">
        <v>157</v>
      </c>
      <c r="I125" s="122" t="s">
        <v>158</v>
      </c>
      <c r="J125" s="122" t="s">
        <v>159</v>
      </c>
      <c r="K125" s="122" t="s">
        <v>160</v>
      </c>
      <c r="L125" s="122" t="s">
        <v>161</v>
      </c>
      <c r="M125" s="122" t="s">
        <v>162</v>
      </c>
      <c r="N125" s="122" t="s">
        <v>163</v>
      </c>
      <c r="O125" s="122" t="s">
        <v>164</v>
      </c>
      <c r="P125" s="122" t="s">
        <v>165</v>
      </c>
      <c r="Q125" s="122" t="s">
        <v>166</v>
      </c>
      <c r="R125" s="122" t="s">
        <v>167</v>
      </c>
      <c r="S125" s="122" t="s">
        <v>168</v>
      </c>
      <c r="T125" s="122" t="s">
        <v>169</v>
      </c>
      <c r="U125" s="122" t="s">
        <v>170</v>
      </c>
      <c r="V125" s="122" t="s">
        <v>171</v>
      </c>
      <c r="W125" s="122" t="s">
        <v>172</v>
      </c>
      <c r="X125" s="122" t="s">
        <v>173</v>
      </c>
      <c r="Y125" s="122" t="s">
        <v>174</v>
      </c>
      <c r="Z125" s="122" t="s">
        <v>175</v>
      </c>
      <c r="AA125" s="122" t="s">
        <v>176</v>
      </c>
      <c r="AB125" s="122" t="s">
        <v>177</v>
      </c>
      <c r="AC125" s="122" t="s">
        <v>178</v>
      </c>
      <c r="AD125" s="122" t="s">
        <v>179</v>
      </c>
      <c r="AE125" s="122" t="s">
        <v>180</v>
      </c>
      <c r="AF125" s="122" t="s">
        <v>181</v>
      </c>
      <c r="AG125" s="122" t="s">
        <v>182</v>
      </c>
      <c r="AH125" s="122" t="s">
        <v>183</v>
      </c>
      <c r="AI125" s="122" t="s">
        <v>184</v>
      </c>
      <c r="AJ125" s="122" t="s">
        <v>185</v>
      </c>
      <c r="AK125" s="122" t="s">
        <v>186</v>
      </c>
      <c r="AL125" s="122" t="s">
        <v>187</v>
      </c>
      <c r="AM125" s="122" t="s">
        <v>188</v>
      </c>
      <c r="AN125" s="122" t="s">
        <v>189</v>
      </c>
      <c r="AO125" s="122" t="s">
        <v>190</v>
      </c>
      <c r="AP125" s="122" t="s">
        <v>191</v>
      </c>
      <c r="AQ125" s="122" t="s">
        <v>192</v>
      </c>
      <c r="AR125" s="122" t="s">
        <v>193</v>
      </c>
      <c r="AS125" s="122" t="s">
        <v>194</v>
      </c>
      <c r="AT125" s="122" t="s">
        <v>195</v>
      </c>
      <c r="AU125" s="122" t="s">
        <v>196</v>
      </c>
      <c r="AV125" s="122" t="s">
        <v>197</v>
      </c>
      <c r="AW125" s="122" t="s">
        <v>198</v>
      </c>
      <c r="AX125" s="122" t="s">
        <v>199</v>
      </c>
      <c r="AY125" s="122" t="s">
        <v>200</v>
      </c>
      <c r="AZ125" s="122" t="s">
        <v>201</v>
      </c>
      <c r="BA125" s="122" t="s">
        <v>202</v>
      </c>
      <c r="BB125" s="122" t="s">
        <v>203</v>
      </c>
      <c r="BC125" s="122" t="s">
        <v>204</v>
      </c>
      <c r="BD125" s="122" t="s">
        <v>205</v>
      </c>
      <c r="BE125" s="122" t="s">
        <v>206</v>
      </c>
      <c r="BF125" s="122" t="s">
        <v>207</v>
      </c>
      <c r="BG125" s="122" t="s">
        <v>208</v>
      </c>
      <c r="BH125" s="122" t="s">
        <v>209</v>
      </c>
      <c r="BI125" s="123" t="s">
        <v>210</v>
      </c>
      <c r="BJ125" s="124">
        <f t="shared" si="29"/>
        <v>0</v>
      </c>
      <c r="BK125" s="81" t="s">
        <v>151</v>
      </c>
      <c r="BL125" s="81" t="s">
        <v>152</v>
      </c>
      <c r="BM125" s="81" t="s">
        <v>153</v>
      </c>
      <c r="BN125" s="81" t="s">
        <v>154</v>
      </c>
      <c r="BO125" s="81" t="s">
        <v>155</v>
      </c>
    </row>
    <row r="126" spans="1:67" ht="13.4" customHeight="1">
      <c r="A126" s="8" t="s">
        <v>81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13"/>
      <c r="BJ126" s="8" t="str">
        <f t="shared" si="29"/>
        <v>Technology Infrastructure</v>
      </c>
      <c r="BK126" s="4"/>
      <c r="BL126" s="4"/>
      <c r="BM126" s="4"/>
      <c r="BN126" s="4"/>
      <c r="BO126" s="4"/>
    </row>
    <row r="127" spans="1:67" ht="13.4" customHeight="1">
      <c r="A127" s="10" t="s">
        <v>82</v>
      </c>
      <c r="B127" s="31">
        <f t="shared" ref="B127:B144" ca="1" si="62">VLOOKUP($A127,$80:$98,B$125+1,FALSE)</f>
        <v>5462.5689328824474</v>
      </c>
      <c r="C127" s="31">
        <f t="shared" ref="C127:L128" ca="1" si="63">VLOOKUP($A127,$80:$98,C$125+1,FALSE)-VLOOKUP($A127,$148:$166,C$125,FALSE)</f>
        <v>10464.893813782586</v>
      </c>
      <c r="D127" s="31">
        <f t="shared" ca="1" si="63"/>
        <v>20439.559812473719</v>
      </c>
      <c r="E127" s="31">
        <f t="shared" ca="1" si="63"/>
        <v>14132.529327861324</v>
      </c>
      <c r="F127" s="31">
        <f t="shared" ca="1" si="63"/>
        <v>19189.965864198723</v>
      </c>
      <c r="G127" s="31">
        <f t="shared" ca="1" si="63"/>
        <v>32973.900388461072</v>
      </c>
      <c r="H127" s="31">
        <f t="shared" ca="1" si="63"/>
        <v>31517.079449898079</v>
      </c>
      <c r="I127" s="31">
        <f t="shared" ca="1" si="63"/>
        <v>44299.261197957989</v>
      </c>
      <c r="J127" s="31">
        <f t="shared" ca="1" si="63"/>
        <v>55866.647379209273</v>
      </c>
      <c r="K127" s="31">
        <f t="shared" ca="1" si="63"/>
        <v>55217.686510598949</v>
      </c>
      <c r="L127" s="31">
        <f t="shared" ca="1" si="63"/>
        <v>64756.638900518461</v>
      </c>
      <c r="M127" s="31">
        <f t="shared" ref="M127:V128" ca="1" si="64">VLOOKUP($A127,$80:$98,M$125+1,FALSE)-VLOOKUP($A127,$148:$166,M$125,FALSE)</f>
        <v>40974.973697495443</v>
      </c>
      <c r="N127" s="31">
        <f t="shared" ca="1" si="64"/>
        <v>87949.73078605831</v>
      </c>
      <c r="O127" s="31">
        <f t="shared" ca="1" si="64"/>
        <v>86329.571091409685</v>
      </c>
      <c r="P127" s="31">
        <f t="shared" ca="1" si="64"/>
        <v>106916.51289426822</v>
      </c>
      <c r="Q127" s="31">
        <f t="shared" ca="1" si="64"/>
        <v>91794.931694712941</v>
      </c>
      <c r="R127" s="31">
        <f t="shared" ca="1" si="64"/>
        <v>104679.24594329002</v>
      </c>
      <c r="S127" s="31">
        <f t="shared" ca="1" si="64"/>
        <v>85841.186998326957</v>
      </c>
      <c r="T127" s="31">
        <f t="shared" ca="1" si="64"/>
        <v>90111.831221600092</v>
      </c>
      <c r="U127" s="31">
        <f t="shared" ca="1" si="64"/>
        <v>84248.208465676769</v>
      </c>
      <c r="V127" s="31">
        <f t="shared" ca="1" si="64"/>
        <v>137636.05147435251</v>
      </c>
      <c r="W127" s="31">
        <f t="shared" ref="W127:AF128" ca="1" si="65">VLOOKUP($A127,$80:$98,W$125+1,FALSE)-VLOOKUP($A127,$148:$166,W$125,FALSE)</f>
        <v>153799.31754336474</v>
      </c>
      <c r="X127" s="31">
        <f t="shared" ca="1" si="65"/>
        <v>143615.07139564707</v>
      </c>
      <c r="Y127" s="31">
        <f t="shared" ca="1" si="65"/>
        <v>102255.76700203949</v>
      </c>
      <c r="Z127" s="31">
        <f t="shared" ca="1" si="65"/>
        <v>205088.33720397344</v>
      </c>
      <c r="AA127" s="31">
        <f t="shared" ca="1" si="65"/>
        <v>158088.25826625249</v>
      </c>
      <c r="AB127" s="31">
        <f t="shared" ca="1" si="65"/>
        <v>142786.03264634626</v>
      </c>
      <c r="AC127" s="31">
        <f t="shared" ca="1" si="65"/>
        <v>221093.06985423359</v>
      </c>
      <c r="AD127" s="31">
        <f t="shared" ca="1" si="65"/>
        <v>136760.55743261869</v>
      </c>
      <c r="AE127" s="31">
        <f t="shared" ca="1" si="65"/>
        <v>242906.09006054746</v>
      </c>
      <c r="AF127" s="31">
        <f t="shared" ca="1" si="65"/>
        <v>155357.92235608376</v>
      </c>
      <c r="AG127" s="31">
        <f t="shared" ref="AG127:AP128" ca="1" si="66">VLOOKUP($A127,$80:$98,AG$125+1,FALSE)-VLOOKUP($A127,$148:$166,AG$125,FALSE)</f>
        <v>104601.13238395036</v>
      </c>
      <c r="AH127" s="31">
        <f t="shared" ca="1" si="66"/>
        <v>124490.0694499901</v>
      </c>
      <c r="AI127" s="31">
        <f t="shared" ca="1" si="66"/>
        <v>178686.44488877212</v>
      </c>
      <c r="AJ127" s="31">
        <f t="shared" ca="1" si="66"/>
        <v>377392.37295268133</v>
      </c>
      <c r="AK127" s="31">
        <f t="shared" ca="1" si="66"/>
        <v>191201.51300662314</v>
      </c>
      <c r="AL127" s="31">
        <f t="shared" ca="1" si="66"/>
        <v>305351.34470619872</v>
      </c>
      <c r="AM127" s="31">
        <f t="shared" ca="1" si="66"/>
        <v>330454.40616650431</v>
      </c>
      <c r="AN127" s="31">
        <f t="shared" ca="1" si="66"/>
        <v>261455.68056848401</v>
      </c>
      <c r="AO127" s="31">
        <f t="shared" ca="1" si="66"/>
        <v>123748.31864113019</v>
      </c>
      <c r="AP127" s="31">
        <f t="shared" ca="1" si="66"/>
        <v>156510.79035552617</v>
      </c>
      <c r="AQ127" s="31">
        <f t="shared" ref="AQ127:AZ128" ca="1" si="67">VLOOKUP($A127,$80:$98,AQ$125+1,FALSE)-VLOOKUP($A127,$148:$166,AQ$125,FALSE)</f>
        <v>233266.71955562104</v>
      </c>
      <c r="AR127" s="31">
        <f t="shared" ca="1" si="67"/>
        <v>143422.55451223277</v>
      </c>
      <c r="AS127" s="31">
        <f t="shared" ca="1" si="67"/>
        <v>330738.39944329706</v>
      </c>
      <c r="AT127" s="31">
        <f t="shared" ca="1" si="67"/>
        <v>337045.76695811102</v>
      </c>
      <c r="AU127" s="31">
        <f t="shared" ca="1" si="67"/>
        <v>304335.80540649919</v>
      </c>
      <c r="AV127" s="31">
        <f t="shared" ca="1" si="67"/>
        <v>334717.8414479713</v>
      </c>
      <c r="AW127" s="31">
        <f t="shared" ca="1" si="67"/>
        <v>369969.25433581928</v>
      </c>
      <c r="AX127" s="31">
        <f t="shared" ca="1" si="67"/>
        <v>330201.18293417135</v>
      </c>
      <c r="AY127" s="31">
        <f t="shared" ca="1" si="67"/>
        <v>262760.94818680361</v>
      </c>
      <c r="AZ127" s="31">
        <f t="shared" ca="1" si="67"/>
        <v>373998.04401167622</v>
      </c>
      <c r="BA127" s="31">
        <f t="shared" ref="BA127:BI128" ca="1" si="68">VLOOKUP($A127,$80:$98,BA$125+1,FALSE)-VLOOKUP($A127,$148:$166,BA$125,FALSE)</f>
        <v>237036.61713746196</v>
      </c>
      <c r="BB127" s="31">
        <f t="shared" ca="1" si="68"/>
        <v>329300.24458018685</v>
      </c>
      <c r="BC127" s="31">
        <f t="shared" ca="1" si="68"/>
        <v>476156.15971513517</v>
      </c>
      <c r="BD127" s="31">
        <f t="shared" ca="1" si="68"/>
        <v>474040.89649920684</v>
      </c>
      <c r="BE127" s="31">
        <f t="shared" ca="1" si="68"/>
        <v>632953.54318080528</v>
      </c>
      <c r="BF127" s="31">
        <f t="shared" ca="1" si="68"/>
        <v>629108.02556291944</v>
      </c>
      <c r="BG127" s="31">
        <f t="shared" ca="1" si="68"/>
        <v>566535.04449143272</v>
      </c>
      <c r="BH127" s="31">
        <f t="shared" ca="1" si="68"/>
        <v>327821.27083411667</v>
      </c>
      <c r="BI127" s="107">
        <f t="shared" ca="1" si="68"/>
        <v>569698.18063968432</v>
      </c>
      <c r="BJ127" s="10" t="str">
        <f t="shared" si="29"/>
        <v>Servers and Data Centers</v>
      </c>
      <c r="BK127" s="127">
        <f ca="1">SUMIFS($B127:$BI127,$B$4:$BI$4,"&lt;=12")</f>
        <v>395295.70527533803</v>
      </c>
      <c r="BL127" s="127">
        <f ca="1">SUMIFS($B127:$BI127,$B$4:$BI$4,"&lt;=24",$B$4:$BI$4,"&gt;12")</f>
        <v>1275177.4265107468</v>
      </c>
      <c r="BM127" s="127">
        <f ca="1">SUMIFS($B127:$BI127,$B$4:$BI$4,"&lt;=36",$B$4:$BI$4,"&gt;24")</f>
        <v>2238451.8005020726</v>
      </c>
      <c r="BN127" s="127">
        <f ca="1">SUMIFS($B127:$BI127,$B$4:$BI$4,"&lt;=48",$B$4:$BI$4,"&gt;36")</f>
        <v>3231016.8820973951</v>
      </c>
      <c r="BO127" s="127">
        <f ca="1">SUMIFS($B127:$BI127,$B$4:$BI$4,"&lt;=60",$B$4:$BI$4,"&gt;48")</f>
        <v>5209610.1577736</v>
      </c>
    </row>
    <row r="128" spans="1:67" ht="13.4" customHeight="1">
      <c r="A128" s="10" t="s">
        <v>84</v>
      </c>
      <c r="B128" s="31">
        <f t="shared" ca="1" si="62"/>
        <v>1820.8563109608158</v>
      </c>
      <c r="C128" s="31">
        <f t="shared" ca="1" si="63"/>
        <v>3488.2979379275289</v>
      </c>
      <c r="D128" s="31">
        <f t="shared" ca="1" si="63"/>
        <v>6813.1866041579078</v>
      </c>
      <c r="E128" s="31">
        <f t="shared" ca="1" si="63"/>
        <v>4710.8431092871078</v>
      </c>
      <c r="F128" s="31">
        <f t="shared" ca="1" si="63"/>
        <v>6396.6552880662412</v>
      </c>
      <c r="G128" s="31">
        <f t="shared" ca="1" si="63"/>
        <v>10991.300129487026</v>
      </c>
      <c r="H128" s="31">
        <f t="shared" ca="1" si="63"/>
        <v>10505.693149966026</v>
      </c>
      <c r="I128" s="31">
        <f t="shared" ca="1" si="63"/>
        <v>14766.420399319331</v>
      </c>
      <c r="J128" s="31">
        <f t="shared" ca="1" si="63"/>
        <v>18622.215793069758</v>
      </c>
      <c r="K128" s="31">
        <f t="shared" ca="1" si="63"/>
        <v>18405.895503532985</v>
      </c>
      <c r="L128" s="31">
        <f t="shared" ca="1" si="63"/>
        <v>21585.54630017282</v>
      </c>
      <c r="M128" s="31">
        <f t="shared" ca="1" si="64"/>
        <v>13658.324565831816</v>
      </c>
      <c r="N128" s="31">
        <f t="shared" ca="1" si="64"/>
        <v>29316.576928686107</v>
      </c>
      <c r="O128" s="31">
        <f t="shared" ca="1" si="64"/>
        <v>28776.523697136563</v>
      </c>
      <c r="P128" s="31">
        <f t="shared" ca="1" si="64"/>
        <v>35638.837631422735</v>
      </c>
      <c r="Q128" s="31">
        <f t="shared" ca="1" si="64"/>
        <v>30598.310564904314</v>
      </c>
      <c r="R128" s="31">
        <f t="shared" ca="1" si="64"/>
        <v>34893.081981096679</v>
      </c>
      <c r="S128" s="31">
        <f t="shared" ca="1" si="64"/>
        <v>28613.728999442323</v>
      </c>
      <c r="T128" s="31">
        <f t="shared" ca="1" si="64"/>
        <v>30037.277073866699</v>
      </c>
      <c r="U128" s="31">
        <f t="shared" ca="1" si="64"/>
        <v>28082.73615522559</v>
      </c>
      <c r="V128" s="31">
        <f t="shared" ca="1" si="64"/>
        <v>45878.683824784173</v>
      </c>
      <c r="W128" s="31">
        <f t="shared" ca="1" si="65"/>
        <v>51266.439181121583</v>
      </c>
      <c r="X128" s="31">
        <f t="shared" ca="1" si="65"/>
        <v>47871.690465215695</v>
      </c>
      <c r="Y128" s="31">
        <f t="shared" ca="1" si="65"/>
        <v>34085.255667346501</v>
      </c>
      <c r="Z128" s="31">
        <f t="shared" ca="1" si="65"/>
        <v>68362.779067991156</v>
      </c>
      <c r="AA128" s="31">
        <f t="shared" ca="1" si="65"/>
        <v>52696.086088750824</v>
      </c>
      <c r="AB128" s="31">
        <f t="shared" ca="1" si="65"/>
        <v>47595.344215448749</v>
      </c>
      <c r="AC128" s="31">
        <f t="shared" ca="1" si="65"/>
        <v>73697.689951411201</v>
      </c>
      <c r="AD128" s="31">
        <f t="shared" ca="1" si="65"/>
        <v>45586.852477539578</v>
      </c>
      <c r="AE128" s="31">
        <f t="shared" ca="1" si="65"/>
        <v>80968.696686849158</v>
      </c>
      <c r="AF128" s="31">
        <f t="shared" ca="1" si="65"/>
        <v>51785.97411869459</v>
      </c>
      <c r="AG128" s="31">
        <f t="shared" ca="1" si="66"/>
        <v>34867.044127983456</v>
      </c>
      <c r="AH128" s="31">
        <f t="shared" ca="1" si="66"/>
        <v>41496.689816663369</v>
      </c>
      <c r="AI128" s="31">
        <f t="shared" ca="1" si="66"/>
        <v>59562.148296257379</v>
      </c>
      <c r="AJ128" s="31">
        <f t="shared" ca="1" si="66"/>
        <v>125797.45765089379</v>
      </c>
      <c r="AK128" s="31">
        <f t="shared" ca="1" si="66"/>
        <v>63733.837668874366</v>
      </c>
      <c r="AL128" s="31">
        <f t="shared" ca="1" si="66"/>
        <v>101783.78156873291</v>
      </c>
      <c r="AM128" s="31">
        <f t="shared" ca="1" si="66"/>
        <v>110151.46872216811</v>
      </c>
      <c r="AN128" s="31">
        <f t="shared" ca="1" si="66"/>
        <v>87151.893522828017</v>
      </c>
      <c r="AO128" s="31">
        <f t="shared" ca="1" si="66"/>
        <v>41249.439547043396</v>
      </c>
      <c r="AP128" s="31">
        <f t="shared" ca="1" si="66"/>
        <v>52170.26345184206</v>
      </c>
      <c r="AQ128" s="31">
        <f t="shared" ca="1" si="67"/>
        <v>77755.573185207002</v>
      </c>
      <c r="AR128" s="31">
        <f t="shared" ca="1" si="67"/>
        <v>47807.518170744253</v>
      </c>
      <c r="AS128" s="31">
        <f t="shared" ca="1" si="67"/>
        <v>110246.13314776568</v>
      </c>
      <c r="AT128" s="31">
        <f t="shared" ca="1" si="67"/>
        <v>112348.58898603701</v>
      </c>
      <c r="AU128" s="31">
        <f t="shared" ca="1" si="67"/>
        <v>101445.26846883306</v>
      </c>
      <c r="AV128" s="31">
        <f t="shared" ca="1" si="67"/>
        <v>111572.61381599044</v>
      </c>
      <c r="AW128" s="31">
        <f t="shared" ca="1" si="67"/>
        <v>123323.08477860643</v>
      </c>
      <c r="AX128" s="31">
        <f t="shared" ca="1" si="67"/>
        <v>110067.06097805711</v>
      </c>
      <c r="AY128" s="31">
        <f t="shared" ca="1" si="67"/>
        <v>87586.982728934556</v>
      </c>
      <c r="AZ128" s="31">
        <f t="shared" ca="1" si="67"/>
        <v>124666.01467055875</v>
      </c>
      <c r="BA128" s="31">
        <f t="shared" ca="1" si="68"/>
        <v>79012.205712487324</v>
      </c>
      <c r="BB128" s="31">
        <f t="shared" ca="1" si="68"/>
        <v>109766.7481933956</v>
      </c>
      <c r="BC128" s="31">
        <f t="shared" ca="1" si="68"/>
        <v>158718.71990504506</v>
      </c>
      <c r="BD128" s="31">
        <f t="shared" ca="1" si="68"/>
        <v>158013.6321664023</v>
      </c>
      <c r="BE128" s="31">
        <f t="shared" ca="1" si="68"/>
        <v>210984.51439360177</v>
      </c>
      <c r="BF128" s="31">
        <f t="shared" ca="1" si="68"/>
        <v>209702.67518763983</v>
      </c>
      <c r="BG128" s="31">
        <f t="shared" ca="1" si="68"/>
        <v>188845.01483047759</v>
      </c>
      <c r="BH128" s="31">
        <f t="shared" ca="1" si="68"/>
        <v>109273.75694470556</v>
      </c>
      <c r="BI128" s="107">
        <f t="shared" ca="1" si="68"/>
        <v>189899.39354656145</v>
      </c>
      <c r="BJ128" s="10" t="str">
        <f t="shared" si="29"/>
        <v>Networking Equipment</v>
      </c>
      <c r="BK128" s="127">
        <f ca="1">SUMIFS($B128:$BI128,$B$4:$BI$4,"&lt;=12")</f>
        <v>131765.23509177935</v>
      </c>
      <c r="BL128" s="127">
        <f ca="1">SUMIFS($B128:$BI128,$B$4:$BI$4,"&lt;=24",$B$4:$BI$4,"&gt;12")</f>
        <v>425059.14217024902</v>
      </c>
      <c r="BM128" s="127">
        <f ca="1">SUMIFS($B128:$BI128,$B$4:$BI$4,"&lt;=36",$B$4:$BI$4,"&gt;24")</f>
        <v>746150.60016735771</v>
      </c>
      <c r="BN128" s="127">
        <f ca="1">SUMIFS($B128:$BI128,$B$4:$BI$4,"&lt;=48",$B$4:$BI$4,"&gt;36")</f>
        <v>1077005.6273657982</v>
      </c>
      <c r="BO128" s="127">
        <f ca="1">SUMIFS($B128:$BI128,$B$4:$BI$4,"&lt;=60",$B$4:$BI$4,"&gt;48")</f>
        <v>1736536.7192578667</v>
      </c>
    </row>
    <row r="129" spans="1:67" ht="13.4" customHeight="1">
      <c r="A129" s="8" t="s">
        <v>85</v>
      </c>
      <c r="B129" s="4">
        <f t="shared" si="62"/>
        <v>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13"/>
      <c r="BJ129" s="8" t="str">
        <f t="shared" si="29"/>
        <v>Software and Licenses</v>
      </c>
      <c r="BK129" s="6"/>
      <c r="BL129" s="6"/>
      <c r="BM129" s="6"/>
      <c r="BN129" s="6"/>
      <c r="BO129" s="6"/>
    </row>
    <row r="130" spans="1:67" ht="13.4" customHeight="1">
      <c r="A130" s="10" t="s">
        <v>86</v>
      </c>
      <c r="B130" s="31">
        <f t="shared" ca="1" si="62"/>
        <v>3641.7126219216316</v>
      </c>
      <c r="C130" s="31">
        <f t="shared" ref="C130:L131" ca="1" si="69">VLOOKUP($A130,$80:$98,C$125+1,FALSE)-VLOOKUP($A130,$148:$166,C$125,FALSE)</f>
        <v>7006.9434810377379</v>
      </c>
      <c r="D130" s="31">
        <f t="shared" ca="1" si="69"/>
        <v>13684.258610571418</v>
      </c>
      <c r="E130" s="31">
        <f t="shared" ca="1" si="69"/>
        <v>9534.7569502913848</v>
      </c>
      <c r="F130" s="31">
        <f t="shared" ca="1" si="69"/>
        <v>12870.882371856291</v>
      </c>
      <c r="G130" s="31">
        <f t="shared" ca="1" si="69"/>
        <v>22088.564748810793</v>
      </c>
      <c r="H130" s="31">
        <f t="shared" ca="1" si="69"/>
        <v>21193.691598008194</v>
      </c>
      <c r="I130" s="31">
        <f t="shared" ca="1" si="69"/>
        <v>29706.416473654128</v>
      </c>
      <c r="J130" s="31">
        <f t="shared" ca="1" si="69"/>
        <v>37489.092128836375</v>
      </c>
      <c r="K130" s="31">
        <f t="shared" ca="1" si="69"/>
        <v>37120.12243242799</v>
      </c>
      <c r="L130" s="31">
        <f t="shared" ca="1" si="69"/>
        <v>43475.28809685984</v>
      </c>
      <c r="M130" s="31">
        <f t="shared" ref="M130:V131" ca="1" si="70">VLOOKUP($A130,$80:$98,M$125+1,FALSE)-VLOOKUP($A130,$148:$166,M$125,FALSE)</f>
        <v>27673.873274195561</v>
      </c>
      <c r="N130" s="31">
        <f t="shared" ca="1" si="70"/>
        <v>58857.815732281641</v>
      </c>
      <c r="O130" s="31">
        <f t="shared" ca="1" si="70"/>
        <v>58039.784827460317</v>
      </c>
      <c r="P130" s="31">
        <f t="shared" ca="1" si="70"/>
        <v>71753.227845854519</v>
      </c>
      <c r="Q130" s="31">
        <f t="shared" ca="1" si="70"/>
        <v>61786.638818807267</v>
      </c>
      <c r="R130" s="31">
        <f t="shared" ca="1" si="70"/>
        <v>70291.218990866764</v>
      </c>
      <c r="S130" s="31">
        <f t="shared" ca="1" si="70"/>
        <v>57804.800573330642</v>
      </c>
      <c r="T130" s="31">
        <f t="shared" ca="1" si="70"/>
        <v>60546.638442937052</v>
      </c>
      <c r="U130" s="31">
        <f t="shared" ca="1" si="70"/>
        <v>56662.159559222258</v>
      </c>
      <c r="V130" s="31">
        <f t="shared" ca="1" si="70"/>
        <v>92221.27419174902</v>
      </c>
      <c r="W130" s="31">
        <f t="shared" ref="W130:AF131" ca="1" si="71">VLOOKUP($A130,$80:$98,W$125+1,FALSE)-VLOOKUP($A130,$148:$166,W$125,FALSE)</f>
        <v>103293.65720480474</v>
      </c>
      <c r="X130" s="31">
        <f t="shared" ca="1" si="71"/>
        <v>96591.481759762071</v>
      </c>
      <c r="Y130" s="31">
        <f t="shared" ca="1" si="71"/>
        <v>68961.305335535508</v>
      </c>
      <c r="Z130" s="31">
        <f t="shared" ca="1" si="71"/>
        <v>137287.05578043108</v>
      </c>
      <c r="AA130" s="31">
        <f t="shared" ca="1" si="71"/>
        <v>106526.87268159777</v>
      </c>
      <c r="AB130" s="31">
        <f t="shared" ca="1" si="71"/>
        <v>96059.500694842543</v>
      </c>
      <c r="AC130" s="31">
        <f t="shared" ca="1" si="71"/>
        <v>148181.39553754698</v>
      </c>
      <c r="AD130" s="31">
        <f t="shared" ca="1" si="71"/>
        <v>92395.449657313307</v>
      </c>
      <c r="AE130" s="31">
        <f t="shared" ca="1" si="71"/>
        <v>162686.99304247202</v>
      </c>
      <c r="AF130" s="31">
        <f t="shared" ca="1" si="71"/>
        <v>104915.17985159688</v>
      </c>
      <c r="AG130" s="31">
        <f t="shared" ref="AG130:AP131" ca="1" si="72">VLOOKUP($A130,$80:$98,AG$125+1,FALSE)-VLOOKUP($A130,$148:$166,AG$125,FALSE)</f>
        <v>70585.994227826755</v>
      </c>
      <c r="AH130" s="31">
        <f t="shared" ca="1" si="72"/>
        <v>83567.397819027639</v>
      </c>
      <c r="AI130" s="31">
        <f t="shared" ca="1" si="72"/>
        <v>119811.1246045783</v>
      </c>
      <c r="AJ130" s="31">
        <f t="shared" ca="1" si="72"/>
        <v>252581.89420662468</v>
      </c>
      <c r="AK130" s="31">
        <f t="shared" ca="1" si="72"/>
        <v>129556.07480772333</v>
      </c>
      <c r="AL130" s="31">
        <f t="shared" ca="1" si="72"/>
        <v>204612.39043636393</v>
      </c>
      <c r="AM130" s="31">
        <f t="shared" ca="1" si="72"/>
        <v>221990.62690965761</v>
      </c>
      <c r="AN130" s="31">
        <f t="shared" ca="1" si="72"/>
        <v>176125.5807788145</v>
      </c>
      <c r="AO130" s="31">
        <f t="shared" ca="1" si="72"/>
        <v>83936.229038357604</v>
      </c>
      <c r="AP130" s="31">
        <f t="shared" ca="1" si="72"/>
        <v>105016.03964659925</v>
      </c>
      <c r="AQ130" s="31">
        <f t="shared" ref="AQ130:AZ131" ca="1" si="73">VLOOKUP($A130,$80:$98,AQ$125+1,FALSE)-VLOOKUP($A130,$148:$166,AQ$125,FALSE)</f>
        <v>156375.0214884204</v>
      </c>
      <c r="AR130" s="31">
        <f t="shared" ca="1" si="73"/>
        <v>96903.763601925239</v>
      </c>
      <c r="AS130" s="31">
        <f t="shared" ca="1" si="73"/>
        <v>221278.31887120678</v>
      </c>
      <c r="AT130" s="31">
        <f t="shared" ca="1" si="73"/>
        <v>226528.06308640615</v>
      </c>
      <c r="AU130" s="31">
        <f t="shared" ca="1" si="73"/>
        <v>204747.75604481398</v>
      </c>
      <c r="AV130" s="31">
        <f t="shared" ca="1" si="73"/>
        <v>224820.50528056853</v>
      </c>
      <c r="AW130" s="31">
        <f t="shared" ca="1" si="73"/>
        <v>248491.75247374113</v>
      </c>
      <c r="AX130" s="31">
        <f t="shared" ca="1" si="73"/>
        <v>222174.1268447866</v>
      </c>
      <c r="AY130" s="31">
        <f t="shared" ca="1" si="73"/>
        <v>176991.41643343112</v>
      </c>
      <c r="AZ130" s="31">
        <f t="shared" ca="1" si="73"/>
        <v>250776.66696180339</v>
      </c>
      <c r="BA130" s="31">
        <f t="shared" ref="BA130:BI131" ca="1" si="74">VLOOKUP($A130,$80:$98,BA$125+1,FALSE)-VLOOKUP($A130,$148:$166,BA$125,FALSE)</f>
        <v>160090.13968931156</v>
      </c>
      <c r="BB130" s="31">
        <f t="shared" ca="1" si="74"/>
        <v>220833.15207979653</v>
      </c>
      <c r="BC130" s="31">
        <f t="shared" ca="1" si="74"/>
        <v>319256.05514920503</v>
      </c>
      <c r="BD130" s="31">
        <f t="shared" ca="1" si="74"/>
        <v>318657.42120339605</v>
      </c>
      <c r="BE130" s="31">
        <f t="shared" ca="1" si="74"/>
        <v>424580.67134938866</v>
      </c>
      <c r="BF130" s="31">
        <f t="shared" ca="1" si="74"/>
        <v>422899.99526048813</v>
      </c>
      <c r="BG130" s="31">
        <f t="shared" ca="1" si="74"/>
        <v>381155.95220670576</v>
      </c>
      <c r="BH130" s="31">
        <f t="shared" ca="1" si="74"/>
        <v>221666.04811537117</v>
      </c>
      <c r="BI130" s="107">
        <f t="shared" ca="1" si="74"/>
        <v>381594.02859031828</v>
      </c>
      <c r="BJ130" s="10" t="str">
        <f t="shared" si="29"/>
        <v>Enterprise Software</v>
      </c>
      <c r="BK130" s="127">
        <f ca="1">SUMIFS($B130:$BI130,$B$4:$BI$4,"&lt;=12")</f>
        <v>265485.60278847138</v>
      </c>
      <c r="BL130" s="127">
        <f ca="1">SUMIFS($B130:$BI130,$B$4:$BI$4,"&lt;=24",$B$4:$BI$4,"&gt;12")</f>
        <v>856810.00328261184</v>
      </c>
      <c r="BM130" s="127">
        <f ca="1">SUMIFS($B130:$BI130,$B$4:$BI$4,"&lt;=36",$B$4:$BI$4,"&gt;24")</f>
        <v>1504154.9329115814</v>
      </c>
      <c r="BN130" s="127">
        <f ca="1">SUMIFS($B130:$BI130,$B$4:$BI$4,"&lt;=48",$B$4:$BI$4,"&gt;36")</f>
        <v>2170826.0476568751</v>
      </c>
      <c r="BO130" s="127">
        <f ca="1">SUMIFS($B130:$BI130,$B$4:$BI$4,"&lt;=60",$B$4:$BI$4,"&gt;48")</f>
        <v>3500675.6738840025</v>
      </c>
    </row>
    <row r="131" spans="1:67" ht="13.4" customHeight="1">
      <c r="A131" s="10" t="s">
        <v>87</v>
      </c>
      <c r="B131" s="31">
        <f t="shared" ca="1" si="62"/>
        <v>1820.8563109608158</v>
      </c>
      <c r="C131" s="31">
        <f t="shared" ca="1" si="69"/>
        <v>3488.2979379275289</v>
      </c>
      <c r="D131" s="31">
        <f t="shared" ca="1" si="69"/>
        <v>6813.1866041579078</v>
      </c>
      <c r="E131" s="31">
        <f t="shared" ca="1" si="69"/>
        <v>4710.8431092871078</v>
      </c>
      <c r="F131" s="31">
        <f t="shared" ca="1" si="69"/>
        <v>6396.6552880662412</v>
      </c>
      <c r="G131" s="31">
        <f t="shared" ca="1" si="69"/>
        <v>10991.300129487026</v>
      </c>
      <c r="H131" s="31">
        <f t="shared" ca="1" si="69"/>
        <v>10505.693149966026</v>
      </c>
      <c r="I131" s="31">
        <f t="shared" ca="1" si="69"/>
        <v>14766.420399319331</v>
      </c>
      <c r="J131" s="31">
        <f t="shared" ca="1" si="69"/>
        <v>18622.215793069758</v>
      </c>
      <c r="K131" s="31">
        <f t="shared" ca="1" si="69"/>
        <v>18405.895503532985</v>
      </c>
      <c r="L131" s="31">
        <f t="shared" ca="1" si="69"/>
        <v>21585.54630017282</v>
      </c>
      <c r="M131" s="31">
        <f t="shared" ca="1" si="70"/>
        <v>13658.324565831816</v>
      </c>
      <c r="N131" s="31">
        <f t="shared" ca="1" si="70"/>
        <v>29316.576928686107</v>
      </c>
      <c r="O131" s="31">
        <f t="shared" ca="1" si="70"/>
        <v>28776.523697136563</v>
      </c>
      <c r="P131" s="31">
        <f t="shared" ca="1" si="70"/>
        <v>35638.837631422735</v>
      </c>
      <c r="Q131" s="31">
        <f t="shared" ca="1" si="70"/>
        <v>30598.310564904314</v>
      </c>
      <c r="R131" s="31">
        <f t="shared" ca="1" si="70"/>
        <v>34893.081981096679</v>
      </c>
      <c r="S131" s="31">
        <f t="shared" ca="1" si="70"/>
        <v>28613.728999442323</v>
      </c>
      <c r="T131" s="31">
        <f t="shared" ca="1" si="70"/>
        <v>30037.277073866699</v>
      </c>
      <c r="U131" s="31">
        <f t="shared" ca="1" si="70"/>
        <v>28082.73615522559</v>
      </c>
      <c r="V131" s="31">
        <f t="shared" ca="1" si="70"/>
        <v>45878.683824784173</v>
      </c>
      <c r="W131" s="31">
        <f t="shared" ca="1" si="71"/>
        <v>51266.439181121583</v>
      </c>
      <c r="X131" s="31">
        <f t="shared" ca="1" si="71"/>
        <v>47871.690465215695</v>
      </c>
      <c r="Y131" s="31">
        <f t="shared" ca="1" si="71"/>
        <v>34085.255667346501</v>
      </c>
      <c r="Z131" s="31">
        <f t="shared" ca="1" si="71"/>
        <v>68362.779067991156</v>
      </c>
      <c r="AA131" s="31">
        <f t="shared" ca="1" si="71"/>
        <v>52696.086088750824</v>
      </c>
      <c r="AB131" s="31">
        <f t="shared" ca="1" si="71"/>
        <v>47595.344215448749</v>
      </c>
      <c r="AC131" s="31">
        <f t="shared" ca="1" si="71"/>
        <v>73697.689951411201</v>
      </c>
      <c r="AD131" s="31">
        <f t="shared" ca="1" si="71"/>
        <v>45586.852477539578</v>
      </c>
      <c r="AE131" s="31">
        <f t="shared" ca="1" si="71"/>
        <v>80968.696686849158</v>
      </c>
      <c r="AF131" s="31">
        <f t="shared" ca="1" si="71"/>
        <v>51785.97411869459</v>
      </c>
      <c r="AG131" s="31">
        <f t="shared" ca="1" si="72"/>
        <v>34867.044127983456</v>
      </c>
      <c r="AH131" s="31">
        <f t="shared" ca="1" si="72"/>
        <v>41496.689816663369</v>
      </c>
      <c r="AI131" s="31">
        <f t="shared" ca="1" si="72"/>
        <v>59562.148296257379</v>
      </c>
      <c r="AJ131" s="31">
        <f t="shared" ca="1" si="72"/>
        <v>125797.45765089379</v>
      </c>
      <c r="AK131" s="31">
        <f t="shared" ca="1" si="72"/>
        <v>63733.837668874366</v>
      </c>
      <c r="AL131" s="31">
        <f t="shared" ca="1" si="72"/>
        <v>101783.78156873291</v>
      </c>
      <c r="AM131" s="31">
        <f t="shared" ca="1" si="72"/>
        <v>110151.46872216811</v>
      </c>
      <c r="AN131" s="31">
        <f t="shared" ca="1" si="72"/>
        <v>87151.893522828017</v>
      </c>
      <c r="AO131" s="31">
        <f t="shared" ca="1" si="72"/>
        <v>41249.439547043396</v>
      </c>
      <c r="AP131" s="31">
        <f t="shared" ca="1" si="72"/>
        <v>52170.26345184206</v>
      </c>
      <c r="AQ131" s="31">
        <f t="shared" ca="1" si="73"/>
        <v>77755.573185207002</v>
      </c>
      <c r="AR131" s="31">
        <f t="shared" ca="1" si="73"/>
        <v>47807.518170744253</v>
      </c>
      <c r="AS131" s="31">
        <f t="shared" ca="1" si="73"/>
        <v>110246.13314776568</v>
      </c>
      <c r="AT131" s="31">
        <f t="shared" ca="1" si="73"/>
        <v>112348.58898603701</v>
      </c>
      <c r="AU131" s="31">
        <f t="shared" ca="1" si="73"/>
        <v>101445.26846883306</v>
      </c>
      <c r="AV131" s="31">
        <f t="shared" ca="1" si="73"/>
        <v>111572.61381599044</v>
      </c>
      <c r="AW131" s="31">
        <f t="shared" ca="1" si="73"/>
        <v>123323.08477860643</v>
      </c>
      <c r="AX131" s="31">
        <f t="shared" ca="1" si="73"/>
        <v>110067.06097805711</v>
      </c>
      <c r="AY131" s="31">
        <f t="shared" ca="1" si="73"/>
        <v>87586.982728934556</v>
      </c>
      <c r="AZ131" s="31">
        <f t="shared" ca="1" si="73"/>
        <v>124666.01467055875</v>
      </c>
      <c r="BA131" s="31">
        <f t="shared" ca="1" si="74"/>
        <v>79012.205712487324</v>
      </c>
      <c r="BB131" s="31">
        <f t="shared" ca="1" si="74"/>
        <v>109766.7481933956</v>
      </c>
      <c r="BC131" s="31">
        <f t="shared" ca="1" si="74"/>
        <v>158718.71990504506</v>
      </c>
      <c r="BD131" s="31">
        <f t="shared" ca="1" si="74"/>
        <v>158013.6321664023</v>
      </c>
      <c r="BE131" s="31">
        <f t="shared" ca="1" si="74"/>
        <v>210984.51439360177</v>
      </c>
      <c r="BF131" s="31">
        <f t="shared" ca="1" si="74"/>
        <v>209702.67518763983</v>
      </c>
      <c r="BG131" s="31">
        <f t="shared" ca="1" si="74"/>
        <v>188845.01483047759</v>
      </c>
      <c r="BH131" s="31">
        <f t="shared" ca="1" si="74"/>
        <v>109273.75694470556</v>
      </c>
      <c r="BI131" s="107">
        <f t="shared" ca="1" si="74"/>
        <v>189899.39354656145</v>
      </c>
      <c r="BJ131" s="10" t="str">
        <f t="shared" ref="BJ131:BJ194" si="75">A131</f>
        <v>Software Licenses</v>
      </c>
      <c r="BK131" s="127">
        <f ca="1">SUMIFS($B131:$BI131,$B$4:$BI$4,"&lt;=12")</f>
        <v>131765.23509177935</v>
      </c>
      <c r="BL131" s="127">
        <f ca="1">SUMIFS($B131:$BI131,$B$4:$BI$4,"&lt;=24",$B$4:$BI$4,"&gt;12")</f>
        <v>425059.14217024902</v>
      </c>
      <c r="BM131" s="127">
        <f ca="1">SUMIFS($B131:$BI131,$B$4:$BI$4,"&lt;=36",$B$4:$BI$4,"&gt;24")</f>
        <v>746150.60016735771</v>
      </c>
      <c r="BN131" s="127">
        <f ca="1">SUMIFS($B131:$BI131,$B$4:$BI$4,"&lt;=48",$B$4:$BI$4,"&gt;36")</f>
        <v>1077005.6273657982</v>
      </c>
      <c r="BO131" s="127">
        <f ca="1">SUMIFS($B131:$BI131,$B$4:$BI$4,"&lt;=60",$B$4:$BI$4,"&gt;48")</f>
        <v>1736536.7192578667</v>
      </c>
    </row>
    <row r="132" spans="1:67" ht="13.4" customHeight="1">
      <c r="A132" s="8" t="s">
        <v>88</v>
      </c>
      <c r="B132" s="4">
        <f t="shared" si="62"/>
        <v>0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13"/>
      <c r="BJ132" s="8" t="str">
        <f t="shared" si="75"/>
        <v>Hardware</v>
      </c>
      <c r="BK132" s="6"/>
      <c r="BL132" s="6"/>
      <c r="BM132" s="6"/>
      <c r="BN132" s="6"/>
      <c r="BO132" s="6"/>
    </row>
    <row r="133" spans="1:67" ht="13.4" customHeight="1">
      <c r="A133" s="10" t="s">
        <v>89</v>
      </c>
      <c r="B133" s="31">
        <f t="shared" ca="1" si="62"/>
        <v>1820.8563109608158</v>
      </c>
      <c r="C133" s="31">
        <f t="shared" ref="C133:L134" ca="1" si="76">VLOOKUP($A133,$80:$98,C$125+1,FALSE)-VLOOKUP($A133,$148:$166,C$125,FALSE)</f>
        <v>3488.2979379275289</v>
      </c>
      <c r="D133" s="31">
        <f t="shared" ca="1" si="76"/>
        <v>6813.1866041579078</v>
      </c>
      <c r="E133" s="31">
        <f t="shared" ca="1" si="76"/>
        <v>4710.8431092871078</v>
      </c>
      <c r="F133" s="31">
        <f t="shared" ca="1" si="76"/>
        <v>6396.6552880662412</v>
      </c>
      <c r="G133" s="31">
        <f t="shared" ca="1" si="76"/>
        <v>10991.300129487026</v>
      </c>
      <c r="H133" s="31">
        <f t="shared" ca="1" si="76"/>
        <v>10505.693149966026</v>
      </c>
      <c r="I133" s="31">
        <f t="shared" ca="1" si="76"/>
        <v>14766.420399319331</v>
      </c>
      <c r="J133" s="31">
        <f t="shared" ca="1" si="76"/>
        <v>18622.215793069758</v>
      </c>
      <c r="K133" s="31">
        <f t="shared" ca="1" si="76"/>
        <v>18405.895503532985</v>
      </c>
      <c r="L133" s="31">
        <f t="shared" ca="1" si="76"/>
        <v>21585.54630017282</v>
      </c>
      <c r="M133" s="31">
        <f t="shared" ref="M133:V134" ca="1" si="77">VLOOKUP($A133,$80:$98,M$125+1,FALSE)-VLOOKUP($A133,$148:$166,M$125,FALSE)</f>
        <v>13658.324565831816</v>
      </c>
      <c r="N133" s="31">
        <f t="shared" ca="1" si="77"/>
        <v>29316.576928686107</v>
      </c>
      <c r="O133" s="31">
        <f t="shared" ca="1" si="77"/>
        <v>28776.523697136563</v>
      </c>
      <c r="P133" s="31">
        <f t="shared" ca="1" si="77"/>
        <v>35638.837631422735</v>
      </c>
      <c r="Q133" s="31">
        <f t="shared" ca="1" si="77"/>
        <v>30598.310564904314</v>
      </c>
      <c r="R133" s="31">
        <f t="shared" ca="1" si="77"/>
        <v>34893.081981096679</v>
      </c>
      <c r="S133" s="31">
        <f t="shared" ca="1" si="77"/>
        <v>28613.728999442323</v>
      </c>
      <c r="T133" s="31">
        <f t="shared" ca="1" si="77"/>
        <v>30037.277073866699</v>
      </c>
      <c r="U133" s="31">
        <f t="shared" ca="1" si="77"/>
        <v>28082.73615522559</v>
      </c>
      <c r="V133" s="31">
        <f t="shared" ca="1" si="77"/>
        <v>45878.683824784173</v>
      </c>
      <c r="W133" s="31">
        <f t="shared" ref="W133:AF134" ca="1" si="78">VLOOKUP($A133,$80:$98,W$125+1,FALSE)-VLOOKUP($A133,$148:$166,W$125,FALSE)</f>
        <v>51266.439181121583</v>
      </c>
      <c r="X133" s="31">
        <f t="shared" ca="1" si="78"/>
        <v>47871.690465215695</v>
      </c>
      <c r="Y133" s="31">
        <f t="shared" ca="1" si="78"/>
        <v>34085.255667346501</v>
      </c>
      <c r="Z133" s="31">
        <f t="shared" ca="1" si="78"/>
        <v>68362.779067991156</v>
      </c>
      <c r="AA133" s="31">
        <f t="shared" ca="1" si="78"/>
        <v>52696.086088750824</v>
      </c>
      <c r="AB133" s="31">
        <f t="shared" ca="1" si="78"/>
        <v>47595.344215448749</v>
      </c>
      <c r="AC133" s="31">
        <f t="shared" ca="1" si="78"/>
        <v>73697.689951411201</v>
      </c>
      <c r="AD133" s="31">
        <f t="shared" ca="1" si="78"/>
        <v>45586.852477539578</v>
      </c>
      <c r="AE133" s="31">
        <f t="shared" ca="1" si="78"/>
        <v>80968.696686849158</v>
      </c>
      <c r="AF133" s="31">
        <f t="shared" ca="1" si="78"/>
        <v>51785.97411869459</v>
      </c>
      <c r="AG133" s="31">
        <f t="shared" ref="AG133:AP134" ca="1" si="79">VLOOKUP($A133,$80:$98,AG$125+1,FALSE)-VLOOKUP($A133,$148:$166,AG$125,FALSE)</f>
        <v>34867.044127983456</v>
      </c>
      <c r="AH133" s="31">
        <f t="shared" ca="1" si="79"/>
        <v>41496.689816663369</v>
      </c>
      <c r="AI133" s="31">
        <f t="shared" ca="1" si="79"/>
        <v>59562.148296257379</v>
      </c>
      <c r="AJ133" s="31">
        <f t="shared" ca="1" si="79"/>
        <v>125797.45765089379</v>
      </c>
      <c r="AK133" s="31">
        <f t="shared" ca="1" si="79"/>
        <v>63733.837668874366</v>
      </c>
      <c r="AL133" s="31">
        <f t="shared" ca="1" si="79"/>
        <v>101783.78156873291</v>
      </c>
      <c r="AM133" s="31">
        <f t="shared" ca="1" si="79"/>
        <v>110151.46872216811</v>
      </c>
      <c r="AN133" s="31">
        <f t="shared" ca="1" si="79"/>
        <v>87151.893522828017</v>
      </c>
      <c r="AO133" s="31">
        <f t="shared" ca="1" si="79"/>
        <v>41249.439547043396</v>
      </c>
      <c r="AP133" s="31">
        <f t="shared" ca="1" si="79"/>
        <v>52170.26345184206</v>
      </c>
      <c r="AQ133" s="31">
        <f t="shared" ref="AQ133:AZ134" ca="1" si="80">VLOOKUP($A133,$80:$98,AQ$125+1,FALSE)-VLOOKUP($A133,$148:$166,AQ$125,FALSE)</f>
        <v>77755.573185207002</v>
      </c>
      <c r="AR133" s="31">
        <f t="shared" ca="1" si="80"/>
        <v>47807.518170744253</v>
      </c>
      <c r="AS133" s="31">
        <f t="shared" ca="1" si="80"/>
        <v>110246.13314776568</v>
      </c>
      <c r="AT133" s="31">
        <f t="shared" ca="1" si="80"/>
        <v>112348.58898603701</v>
      </c>
      <c r="AU133" s="31">
        <f t="shared" ca="1" si="80"/>
        <v>101445.26846883306</v>
      </c>
      <c r="AV133" s="31">
        <f t="shared" ca="1" si="80"/>
        <v>111572.61381599044</v>
      </c>
      <c r="AW133" s="31">
        <f t="shared" ca="1" si="80"/>
        <v>123323.08477860643</v>
      </c>
      <c r="AX133" s="31">
        <f t="shared" ca="1" si="80"/>
        <v>110067.06097805711</v>
      </c>
      <c r="AY133" s="31">
        <f t="shared" ca="1" si="80"/>
        <v>87586.982728934556</v>
      </c>
      <c r="AZ133" s="31">
        <f t="shared" ca="1" si="80"/>
        <v>124666.01467055875</v>
      </c>
      <c r="BA133" s="31">
        <f t="shared" ref="BA133:BI134" ca="1" si="81">VLOOKUP($A133,$80:$98,BA$125+1,FALSE)-VLOOKUP($A133,$148:$166,BA$125,FALSE)</f>
        <v>79012.205712487324</v>
      </c>
      <c r="BB133" s="31">
        <f t="shared" ca="1" si="81"/>
        <v>109766.7481933956</v>
      </c>
      <c r="BC133" s="31">
        <f t="shared" ca="1" si="81"/>
        <v>158718.71990504506</v>
      </c>
      <c r="BD133" s="31">
        <f t="shared" ca="1" si="81"/>
        <v>158013.6321664023</v>
      </c>
      <c r="BE133" s="31">
        <f t="shared" ca="1" si="81"/>
        <v>210984.51439360177</v>
      </c>
      <c r="BF133" s="31">
        <f t="shared" ca="1" si="81"/>
        <v>209702.67518763983</v>
      </c>
      <c r="BG133" s="31">
        <f t="shared" ca="1" si="81"/>
        <v>188845.01483047759</v>
      </c>
      <c r="BH133" s="31">
        <f t="shared" ca="1" si="81"/>
        <v>109273.75694470556</v>
      </c>
      <c r="BI133" s="107">
        <f t="shared" ca="1" si="81"/>
        <v>189899.39354656145</v>
      </c>
      <c r="BJ133" s="10" t="str">
        <f t="shared" si="75"/>
        <v>Computers and Workstations</v>
      </c>
      <c r="BK133" s="127">
        <f ca="1">SUMIFS($B133:$BI133,$B$4:$BI$4,"&lt;=12")</f>
        <v>131765.23509177935</v>
      </c>
      <c r="BL133" s="127">
        <f ca="1">SUMIFS($B133:$BI133,$B$4:$BI$4,"&lt;=24",$B$4:$BI$4,"&gt;12")</f>
        <v>425059.14217024902</v>
      </c>
      <c r="BM133" s="127">
        <f ca="1">SUMIFS($B133:$BI133,$B$4:$BI$4,"&lt;=36",$B$4:$BI$4,"&gt;24")</f>
        <v>746150.60016735771</v>
      </c>
      <c r="BN133" s="127">
        <f ca="1">SUMIFS($B133:$BI133,$B$4:$BI$4,"&lt;=48",$B$4:$BI$4,"&gt;36")</f>
        <v>1077005.6273657982</v>
      </c>
      <c r="BO133" s="127">
        <f ca="1">SUMIFS($B133:$BI133,$B$4:$BI$4,"&lt;=60",$B$4:$BI$4,"&gt;48")</f>
        <v>1736536.7192578667</v>
      </c>
    </row>
    <row r="134" spans="1:67" ht="13.4" customHeight="1">
      <c r="A134" s="98" t="s">
        <v>90</v>
      </c>
      <c r="B134" s="31">
        <f t="shared" ca="1" si="62"/>
        <v>3641.7126219216316</v>
      </c>
      <c r="C134" s="31">
        <f t="shared" ca="1" si="76"/>
        <v>6976.5958758550578</v>
      </c>
      <c r="D134" s="31">
        <f t="shared" ca="1" si="76"/>
        <v>13626.373208315816</v>
      </c>
      <c r="E134" s="31">
        <f t="shared" ca="1" si="76"/>
        <v>9421.6862185742157</v>
      </c>
      <c r="F134" s="31">
        <f t="shared" ca="1" si="76"/>
        <v>12793.310576132482</v>
      </c>
      <c r="G134" s="31">
        <f t="shared" ca="1" si="76"/>
        <v>21982.600258974053</v>
      </c>
      <c r="H134" s="31">
        <f t="shared" ca="1" si="76"/>
        <v>21011.386299932052</v>
      </c>
      <c r="I134" s="31">
        <f t="shared" ca="1" si="76"/>
        <v>29532.840798638663</v>
      </c>
      <c r="J134" s="31">
        <f t="shared" ca="1" si="76"/>
        <v>37244.431586139515</v>
      </c>
      <c r="K134" s="31">
        <f t="shared" ca="1" si="76"/>
        <v>36811.791007065971</v>
      </c>
      <c r="L134" s="31">
        <f t="shared" ca="1" si="76"/>
        <v>43171.092600345641</v>
      </c>
      <c r="M134" s="31">
        <f t="shared" ca="1" si="77"/>
        <v>27316.649131663631</v>
      </c>
      <c r="N134" s="31">
        <f t="shared" ca="1" si="77"/>
        <v>58633.153857372214</v>
      </c>
      <c r="O134" s="31">
        <f t="shared" ca="1" si="77"/>
        <v>57553.047394273126</v>
      </c>
      <c r="P134" s="31">
        <f t="shared" ca="1" si="77"/>
        <v>71277.675262845471</v>
      </c>
      <c r="Q134" s="31">
        <f t="shared" ca="1" si="77"/>
        <v>61196.621129808627</v>
      </c>
      <c r="R134" s="31">
        <f t="shared" ca="1" si="77"/>
        <v>69786.163962193357</v>
      </c>
      <c r="S134" s="31">
        <f t="shared" ca="1" si="77"/>
        <v>57227.457998884645</v>
      </c>
      <c r="T134" s="31">
        <f t="shared" ca="1" si="77"/>
        <v>60074.554147733397</v>
      </c>
      <c r="U134" s="31">
        <f t="shared" ca="1" si="77"/>
        <v>56165.47231045118</v>
      </c>
      <c r="V134" s="31">
        <f t="shared" ca="1" si="77"/>
        <v>91757.367649568347</v>
      </c>
      <c r="W134" s="31">
        <f t="shared" ca="1" si="78"/>
        <v>102532.87836224317</v>
      </c>
      <c r="X134" s="31">
        <f t="shared" ca="1" si="78"/>
        <v>95743.380930431391</v>
      </c>
      <c r="Y134" s="31">
        <f t="shared" ca="1" si="78"/>
        <v>68170.511334693001</v>
      </c>
      <c r="Z134" s="31">
        <f t="shared" ca="1" si="78"/>
        <v>136725.55813598231</v>
      </c>
      <c r="AA134" s="31">
        <f t="shared" ca="1" si="78"/>
        <v>105392.17217750165</v>
      </c>
      <c r="AB134" s="31">
        <f t="shared" ca="1" si="78"/>
        <v>95190.688430897499</v>
      </c>
      <c r="AC134" s="31">
        <f t="shared" ca="1" si="78"/>
        <v>147395.3799028224</v>
      </c>
      <c r="AD134" s="31">
        <f t="shared" ca="1" si="78"/>
        <v>91173.704955079156</v>
      </c>
      <c r="AE134" s="31">
        <f t="shared" ca="1" si="78"/>
        <v>161937.39337369832</v>
      </c>
      <c r="AF134" s="31">
        <f t="shared" ca="1" si="78"/>
        <v>103571.94823738918</v>
      </c>
      <c r="AG134" s="31">
        <f t="shared" ca="1" si="79"/>
        <v>69734.088255966912</v>
      </c>
      <c r="AH134" s="31">
        <f t="shared" ca="1" si="79"/>
        <v>82993.379633326738</v>
      </c>
      <c r="AI134" s="31">
        <f t="shared" ca="1" si="79"/>
        <v>119124.29659251476</v>
      </c>
      <c r="AJ134" s="31">
        <f t="shared" ca="1" si="79"/>
        <v>251594.91530178758</v>
      </c>
      <c r="AK134" s="31">
        <f t="shared" ca="1" si="79"/>
        <v>127467.67533774873</v>
      </c>
      <c r="AL134" s="31">
        <f t="shared" ca="1" si="79"/>
        <v>203567.56313746583</v>
      </c>
      <c r="AM134" s="31">
        <f t="shared" ca="1" si="79"/>
        <v>220302.93744433622</v>
      </c>
      <c r="AN134" s="31">
        <f t="shared" ca="1" si="79"/>
        <v>174303.78704565603</v>
      </c>
      <c r="AO134" s="31">
        <f t="shared" ca="1" si="79"/>
        <v>82498.879094086791</v>
      </c>
      <c r="AP134" s="31">
        <f t="shared" ca="1" si="79"/>
        <v>104340.52690368412</v>
      </c>
      <c r="AQ134" s="31">
        <f t="shared" ca="1" si="80"/>
        <v>155511.146370414</v>
      </c>
      <c r="AR134" s="31">
        <f t="shared" ca="1" si="80"/>
        <v>95615.036341488507</v>
      </c>
      <c r="AS134" s="31">
        <f t="shared" ca="1" si="80"/>
        <v>220492.26629553136</v>
      </c>
      <c r="AT134" s="31">
        <f t="shared" ca="1" si="80"/>
        <v>224697.17797207402</v>
      </c>
      <c r="AU134" s="31">
        <f t="shared" ca="1" si="80"/>
        <v>202890.53693766613</v>
      </c>
      <c r="AV134" s="31">
        <f t="shared" ca="1" si="80"/>
        <v>223145.22763198087</v>
      </c>
      <c r="AW134" s="31">
        <f t="shared" ca="1" si="80"/>
        <v>246646.16955721285</v>
      </c>
      <c r="AX134" s="31">
        <f t="shared" ca="1" si="80"/>
        <v>220134.12195611422</v>
      </c>
      <c r="AY134" s="31">
        <f t="shared" ca="1" si="80"/>
        <v>175173.96545786911</v>
      </c>
      <c r="AZ134" s="31">
        <f t="shared" ca="1" si="80"/>
        <v>249332.02934111751</v>
      </c>
      <c r="BA134" s="31">
        <f t="shared" ca="1" si="81"/>
        <v>158024.41142497465</v>
      </c>
      <c r="BB134" s="31">
        <f t="shared" ca="1" si="81"/>
        <v>219533.4963867912</v>
      </c>
      <c r="BC134" s="31">
        <f t="shared" ca="1" si="81"/>
        <v>317437.43981009012</v>
      </c>
      <c r="BD134" s="31">
        <f t="shared" ca="1" si="81"/>
        <v>316027.2643328046</v>
      </c>
      <c r="BE134" s="31">
        <f t="shared" ca="1" si="81"/>
        <v>421969.02878720354</v>
      </c>
      <c r="BF134" s="31">
        <f t="shared" ca="1" si="81"/>
        <v>419405.35037527967</v>
      </c>
      <c r="BG134" s="31">
        <f t="shared" ca="1" si="81"/>
        <v>377690.02966095519</v>
      </c>
      <c r="BH134" s="31">
        <f t="shared" ca="1" si="81"/>
        <v>218547.51388941112</v>
      </c>
      <c r="BI134" s="107">
        <f t="shared" ca="1" si="81"/>
        <v>379798.7870931229</v>
      </c>
      <c r="BJ134" s="10" t="str">
        <f t="shared" si="75"/>
        <v>Storage Devices</v>
      </c>
      <c r="BK134" s="127">
        <f ca="1">SUMIFS($B134:$BI134,$B$4:$BI$4,"&lt;=12")</f>
        <v>263530.4701835587</v>
      </c>
      <c r="BL134" s="127">
        <f ca="1">SUMIFS($B134:$BI134,$B$4:$BI$4,"&lt;=24",$B$4:$BI$4,"&gt;12")</f>
        <v>850118.28434049804</v>
      </c>
      <c r="BM134" s="127">
        <f ca="1">SUMIFS($B134:$BI134,$B$4:$BI$4,"&lt;=36",$B$4:$BI$4,"&gt;24")</f>
        <v>1492301.2003347154</v>
      </c>
      <c r="BN134" s="127">
        <f ca="1">SUMIFS($B134:$BI134,$B$4:$BI$4,"&lt;=48",$B$4:$BI$4,"&gt;36")</f>
        <v>2154011.2547315964</v>
      </c>
      <c r="BO134" s="127">
        <f ca="1">SUMIFS($B134:$BI134,$B$4:$BI$4,"&lt;=60",$B$4:$BI$4,"&gt;48")</f>
        <v>3473073.4385157335</v>
      </c>
    </row>
    <row r="135" spans="1:67" ht="13.4" customHeight="1">
      <c r="A135" s="5" t="s">
        <v>91</v>
      </c>
      <c r="B135" s="4">
        <f t="shared" si="62"/>
        <v>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13"/>
      <c r="BJ135" s="8" t="str">
        <f t="shared" si="75"/>
        <v>Development Costs</v>
      </c>
      <c r="BK135" s="6"/>
      <c r="BL135" s="6"/>
      <c r="BM135" s="6"/>
      <c r="BN135" s="6"/>
      <c r="BO135" s="6"/>
    </row>
    <row r="136" spans="1:67" ht="13.4" customHeight="1">
      <c r="A136" s="98" t="s">
        <v>92</v>
      </c>
      <c r="B136" s="31">
        <f t="shared" ca="1" si="62"/>
        <v>9104.2815548040799</v>
      </c>
      <c r="C136" s="31">
        <f t="shared" ref="C136:L137" ca="1" si="82">VLOOKUP($A136,$80:$98,C$125+1,FALSE)-VLOOKUP($A136,$148:$166,C$125,FALSE)</f>
        <v>17441.489689637645</v>
      </c>
      <c r="D136" s="31">
        <f t="shared" ca="1" si="82"/>
        <v>34065.933020789533</v>
      </c>
      <c r="E136" s="31">
        <f t="shared" ca="1" si="82"/>
        <v>23554.215546435542</v>
      </c>
      <c r="F136" s="31">
        <f t="shared" ca="1" si="82"/>
        <v>31983.276440331207</v>
      </c>
      <c r="G136" s="31">
        <f t="shared" ca="1" si="82"/>
        <v>54956.500647435132</v>
      </c>
      <c r="H136" s="31">
        <f t="shared" ca="1" si="82"/>
        <v>52528.465749830131</v>
      </c>
      <c r="I136" s="31">
        <f t="shared" ca="1" si="82"/>
        <v>73832.101996596655</v>
      </c>
      <c r="J136" s="31">
        <f t="shared" ca="1" si="82"/>
        <v>93111.078965348803</v>
      </c>
      <c r="K136" s="31">
        <f t="shared" ca="1" si="82"/>
        <v>92029.477517664927</v>
      </c>
      <c r="L136" s="31">
        <f t="shared" ca="1" si="82"/>
        <v>107927.73150086412</v>
      </c>
      <c r="M136" s="31">
        <f t="shared" ref="M136:V137" ca="1" si="83">VLOOKUP($A136,$80:$98,M$125+1,FALSE)-VLOOKUP($A136,$148:$166,M$125,FALSE)</f>
        <v>68291.622829159081</v>
      </c>
      <c r="N136" s="31">
        <f t="shared" ca="1" si="83"/>
        <v>146582.88464343053</v>
      </c>
      <c r="O136" s="31">
        <f t="shared" ca="1" si="83"/>
        <v>143882.61848568282</v>
      </c>
      <c r="P136" s="31">
        <f t="shared" ca="1" si="83"/>
        <v>178194.18815711368</v>
      </c>
      <c r="Q136" s="31">
        <f t="shared" ca="1" si="83"/>
        <v>152991.55282452158</v>
      </c>
      <c r="R136" s="31">
        <f t="shared" ca="1" si="83"/>
        <v>174465.40990548339</v>
      </c>
      <c r="S136" s="31">
        <f t="shared" ca="1" si="83"/>
        <v>143068.64499721164</v>
      </c>
      <c r="T136" s="31">
        <f t="shared" ca="1" si="83"/>
        <v>150186.3853693335</v>
      </c>
      <c r="U136" s="31">
        <f t="shared" ca="1" si="83"/>
        <v>140413.68077612793</v>
      </c>
      <c r="V136" s="31">
        <f t="shared" ca="1" si="83"/>
        <v>229393.41912392087</v>
      </c>
      <c r="W136" s="31">
        <f t="shared" ref="W136:AF137" ca="1" si="84">VLOOKUP($A136,$80:$98,W$125+1,FALSE)-VLOOKUP($A136,$148:$166,W$125,FALSE)</f>
        <v>256332.19590560792</v>
      </c>
      <c r="X136" s="31">
        <f t="shared" ca="1" si="84"/>
        <v>239358.45232607846</v>
      </c>
      <c r="Y136" s="31">
        <f t="shared" ca="1" si="84"/>
        <v>170426.27833673247</v>
      </c>
      <c r="Z136" s="31">
        <f t="shared" ca="1" si="84"/>
        <v>341813.89533995581</v>
      </c>
      <c r="AA136" s="31">
        <f t="shared" ca="1" si="84"/>
        <v>263480.43044375419</v>
      </c>
      <c r="AB136" s="31">
        <f t="shared" ca="1" si="84"/>
        <v>237976.72107724374</v>
      </c>
      <c r="AC136" s="31">
        <f t="shared" ca="1" si="84"/>
        <v>368488.44975705602</v>
      </c>
      <c r="AD136" s="31">
        <f t="shared" ca="1" si="84"/>
        <v>227934.26238769788</v>
      </c>
      <c r="AE136" s="31">
        <f t="shared" ca="1" si="84"/>
        <v>404843.48343424581</v>
      </c>
      <c r="AF136" s="31">
        <f t="shared" ca="1" si="84"/>
        <v>258929.87059347294</v>
      </c>
      <c r="AG136" s="31">
        <f t="shared" ref="AG136:AP137" ca="1" si="85">VLOOKUP($A136,$80:$98,AG$125+1,FALSE)-VLOOKUP($A136,$148:$166,AG$125,FALSE)</f>
        <v>174335.2206399173</v>
      </c>
      <c r="AH136" s="31">
        <f t="shared" ca="1" si="85"/>
        <v>207483.44908331684</v>
      </c>
      <c r="AI136" s="31">
        <f t="shared" ca="1" si="85"/>
        <v>297810.74148128694</v>
      </c>
      <c r="AJ136" s="31">
        <f t="shared" ca="1" si="85"/>
        <v>628987.28825446905</v>
      </c>
      <c r="AK136" s="31">
        <f t="shared" ca="1" si="85"/>
        <v>318669.18834437185</v>
      </c>
      <c r="AL136" s="31">
        <f t="shared" ca="1" si="85"/>
        <v>508918.90784366458</v>
      </c>
      <c r="AM136" s="31">
        <f t="shared" ca="1" si="85"/>
        <v>550757.3436108405</v>
      </c>
      <c r="AN136" s="31">
        <f t="shared" ca="1" si="85"/>
        <v>435759.46761414007</v>
      </c>
      <c r="AO136" s="31">
        <f t="shared" ca="1" si="85"/>
        <v>206247.19773521699</v>
      </c>
      <c r="AP136" s="31">
        <f t="shared" ca="1" si="85"/>
        <v>260851.31725921031</v>
      </c>
      <c r="AQ136" s="31">
        <f t="shared" ref="AQ136:AZ137" ca="1" si="86">VLOOKUP($A136,$80:$98,AQ$125+1,FALSE)-VLOOKUP($A136,$148:$166,AQ$125,FALSE)</f>
        <v>388777.86592603504</v>
      </c>
      <c r="AR136" s="31">
        <f t="shared" ca="1" si="86"/>
        <v>239037.59085372128</v>
      </c>
      <c r="AS136" s="31">
        <f t="shared" ca="1" si="86"/>
        <v>551230.66573882836</v>
      </c>
      <c r="AT136" s="31">
        <f t="shared" ca="1" si="86"/>
        <v>561742.94493018498</v>
      </c>
      <c r="AU136" s="31">
        <f t="shared" ca="1" si="86"/>
        <v>507226.34234416531</v>
      </c>
      <c r="AV136" s="31">
        <f t="shared" ca="1" si="86"/>
        <v>557863.0690799522</v>
      </c>
      <c r="AW136" s="31">
        <f t="shared" ca="1" si="86"/>
        <v>616615.42389303225</v>
      </c>
      <c r="AX136" s="31">
        <f t="shared" ca="1" si="86"/>
        <v>550335.3048902856</v>
      </c>
      <c r="AY136" s="31">
        <f t="shared" ca="1" si="86"/>
        <v>437934.91364467278</v>
      </c>
      <c r="AZ136" s="31">
        <f t="shared" ca="1" si="86"/>
        <v>623330.07335279381</v>
      </c>
      <c r="BA136" s="31">
        <f t="shared" ref="BA136:BI137" ca="1" si="87">VLOOKUP($A136,$80:$98,BA$125+1,FALSE)-VLOOKUP($A136,$148:$166,BA$125,FALSE)</f>
        <v>395061.02856243664</v>
      </c>
      <c r="BB136" s="31">
        <f t="shared" ca="1" si="87"/>
        <v>548833.74096697802</v>
      </c>
      <c r="BC136" s="31">
        <f t="shared" ca="1" si="87"/>
        <v>793593.59952522535</v>
      </c>
      <c r="BD136" s="31">
        <f t="shared" ca="1" si="87"/>
        <v>790068.16083201161</v>
      </c>
      <c r="BE136" s="31">
        <f t="shared" ca="1" si="87"/>
        <v>1054922.5719680088</v>
      </c>
      <c r="BF136" s="31">
        <f t="shared" ca="1" si="87"/>
        <v>1048513.3759381991</v>
      </c>
      <c r="BG136" s="31">
        <f t="shared" ca="1" si="87"/>
        <v>944225.07415238791</v>
      </c>
      <c r="BH136" s="31">
        <f t="shared" ca="1" si="87"/>
        <v>546368.78472352785</v>
      </c>
      <c r="BI136" s="107">
        <f t="shared" ca="1" si="87"/>
        <v>949496.96773280716</v>
      </c>
      <c r="BJ136" s="10" t="str">
        <f t="shared" si="75"/>
        <v>Product Development</v>
      </c>
      <c r="BK136" s="127">
        <f ca="1">SUMIFS($B136:$BI136,$B$4:$BI$4,"&lt;=12")</f>
        <v>658826.17545889691</v>
      </c>
      <c r="BL136" s="127">
        <f ca="1">SUMIFS($B136:$BI136,$B$4:$BI$4,"&lt;=24",$B$4:$BI$4,"&gt;12")</f>
        <v>2125295.7108512446</v>
      </c>
      <c r="BM136" s="127">
        <f ca="1">SUMIFS($B136:$BI136,$B$4:$BI$4,"&lt;=36",$B$4:$BI$4,"&gt;24")</f>
        <v>3730753.0008367891</v>
      </c>
      <c r="BN136" s="127">
        <f ca="1">SUMIFS($B136:$BI136,$B$4:$BI$4,"&lt;=48",$B$4:$BI$4,"&gt;36")</f>
        <v>5385028.1368289925</v>
      </c>
      <c r="BO136" s="127">
        <f ca="1">SUMIFS($B136:$BI136,$B$4:$BI$4,"&lt;=60",$B$4:$BI$4,"&gt;48")</f>
        <v>8682683.5962893348</v>
      </c>
    </row>
    <row r="137" spans="1:67" ht="13.4" customHeight="1">
      <c r="A137" s="98" t="s">
        <v>93</v>
      </c>
      <c r="B137" s="31">
        <f t="shared" ca="1" si="62"/>
        <v>3641.7126219216316</v>
      </c>
      <c r="C137" s="31">
        <f t="shared" ca="1" si="82"/>
        <v>6976.5958758550578</v>
      </c>
      <c r="D137" s="31">
        <f t="shared" ca="1" si="82"/>
        <v>13626.373208315816</v>
      </c>
      <c r="E137" s="31">
        <f t="shared" ca="1" si="82"/>
        <v>9421.6862185742157</v>
      </c>
      <c r="F137" s="31">
        <f t="shared" ca="1" si="82"/>
        <v>12793.310576132482</v>
      </c>
      <c r="G137" s="31">
        <f t="shared" ca="1" si="82"/>
        <v>21982.600258974053</v>
      </c>
      <c r="H137" s="31">
        <f t="shared" ca="1" si="82"/>
        <v>21011.386299932052</v>
      </c>
      <c r="I137" s="31">
        <f t="shared" ca="1" si="82"/>
        <v>29532.840798638663</v>
      </c>
      <c r="J137" s="31">
        <f t="shared" ca="1" si="82"/>
        <v>37244.431586139515</v>
      </c>
      <c r="K137" s="31">
        <f t="shared" ca="1" si="82"/>
        <v>36811.791007065971</v>
      </c>
      <c r="L137" s="31">
        <f t="shared" ca="1" si="82"/>
        <v>43171.092600345641</v>
      </c>
      <c r="M137" s="31">
        <f t="shared" ca="1" si="83"/>
        <v>27316.649131663631</v>
      </c>
      <c r="N137" s="31">
        <f t="shared" ca="1" si="83"/>
        <v>58633.153857372214</v>
      </c>
      <c r="O137" s="31">
        <f t="shared" ca="1" si="83"/>
        <v>57553.047394273126</v>
      </c>
      <c r="P137" s="31">
        <f t="shared" ca="1" si="83"/>
        <v>71277.675262845471</v>
      </c>
      <c r="Q137" s="31">
        <f t="shared" ca="1" si="83"/>
        <v>61196.621129808627</v>
      </c>
      <c r="R137" s="31">
        <f t="shared" ca="1" si="83"/>
        <v>69786.163962193357</v>
      </c>
      <c r="S137" s="31">
        <f t="shared" ca="1" si="83"/>
        <v>57227.457998884645</v>
      </c>
      <c r="T137" s="31">
        <f t="shared" ca="1" si="83"/>
        <v>60074.554147733397</v>
      </c>
      <c r="U137" s="31">
        <f t="shared" ca="1" si="83"/>
        <v>56165.47231045118</v>
      </c>
      <c r="V137" s="31">
        <f t="shared" ca="1" si="83"/>
        <v>91757.367649568347</v>
      </c>
      <c r="W137" s="31">
        <f t="shared" ca="1" si="84"/>
        <v>102532.87836224317</v>
      </c>
      <c r="X137" s="31">
        <f t="shared" ca="1" si="84"/>
        <v>95743.380930431391</v>
      </c>
      <c r="Y137" s="31">
        <f t="shared" ca="1" si="84"/>
        <v>68170.511334693001</v>
      </c>
      <c r="Z137" s="31">
        <f t="shared" ca="1" si="84"/>
        <v>136725.55813598231</v>
      </c>
      <c r="AA137" s="31">
        <f t="shared" ca="1" si="84"/>
        <v>105392.17217750165</v>
      </c>
      <c r="AB137" s="31">
        <f t="shared" ca="1" si="84"/>
        <v>95190.688430897499</v>
      </c>
      <c r="AC137" s="31">
        <f t="shared" ca="1" si="84"/>
        <v>147395.3799028224</v>
      </c>
      <c r="AD137" s="31">
        <f t="shared" ca="1" si="84"/>
        <v>91173.704955079156</v>
      </c>
      <c r="AE137" s="31">
        <f t="shared" ca="1" si="84"/>
        <v>161937.39337369832</v>
      </c>
      <c r="AF137" s="31">
        <f t="shared" ca="1" si="84"/>
        <v>103571.94823738918</v>
      </c>
      <c r="AG137" s="31">
        <f t="shared" ca="1" si="85"/>
        <v>69734.088255966912</v>
      </c>
      <c r="AH137" s="31">
        <f t="shared" ca="1" si="85"/>
        <v>82993.379633326738</v>
      </c>
      <c r="AI137" s="31">
        <f t="shared" ca="1" si="85"/>
        <v>119124.29659251476</v>
      </c>
      <c r="AJ137" s="31">
        <f t="shared" ca="1" si="85"/>
        <v>251594.91530178758</v>
      </c>
      <c r="AK137" s="31">
        <f t="shared" ca="1" si="85"/>
        <v>127467.67533774873</v>
      </c>
      <c r="AL137" s="31">
        <f t="shared" ca="1" si="85"/>
        <v>203567.56313746583</v>
      </c>
      <c r="AM137" s="31">
        <f t="shared" ca="1" si="85"/>
        <v>220302.93744433622</v>
      </c>
      <c r="AN137" s="31">
        <f t="shared" ca="1" si="85"/>
        <v>174303.78704565603</v>
      </c>
      <c r="AO137" s="31">
        <f t="shared" ca="1" si="85"/>
        <v>82498.879094086791</v>
      </c>
      <c r="AP137" s="31">
        <f t="shared" ca="1" si="85"/>
        <v>104340.52690368412</v>
      </c>
      <c r="AQ137" s="31">
        <f t="shared" ca="1" si="86"/>
        <v>155511.146370414</v>
      </c>
      <c r="AR137" s="31">
        <f t="shared" ca="1" si="86"/>
        <v>95615.036341488507</v>
      </c>
      <c r="AS137" s="31">
        <f t="shared" ca="1" si="86"/>
        <v>220492.26629553136</v>
      </c>
      <c r="AT137" s="31">
        <f t="shared" ca="1" si="86"/>
        <v>224697.17797207402</v>
      </c>
      <c r="AU137" s="31">
        <f t="shared" ca="1" si="86"/>
        <v>202890.53693766613</v>
      </c>
      <c r="AV137" s="31">
        <f t="shared" ca="1" si="86"/>
        <v>223145.22763198087</v>
      </c>
      <c r="AW137" s="31">
        <f t="shared" ca="1" si="86"/>
        <v>246646.16955721285</v>
      </c>
      <c r="AX137" s="31">
        <f t="shared" ca="1" si="86"/>
        <v>220134.12195611422</v>
      </c>
      <c r="AY137" s="31">
        <f t="shared" ca="1" si="86"/>
        <v>175173.96545786911</v>
      </c>
      <c r="AZ137" s="31">
        <f t="shared" ca="1" si="86"/>
        <v>249332.02934111751</v>
      </c>
      <c r="BA137" s="31">
        <f t="shared" ca="1" si="87"/>
        <v>158024.41142497465</v>
      </c>
      <c r="BB137" s="31">
        <f t="shared" ca="1" si="87"/>
        <v>219533.4963867912</v>
      </c>
      <c r="BC137" s="31">
        <f t="shared" ca="1" si="87"/>
        <v>317437.43981009012</v>
      </c>
      <c r="BD137" s="31">
        <f t="shared" ca="1" si="87"/>
        <v>316027.2643328046</v>
      </c>
      <c r="BE137" s="31">
        <f t="shared" ca="1" si="87"/>
        <v>421969.02878720354</v>
      </c>
      <c r="BF137" s="31">
        <f t="shared" ca="1" si="87"/>
        <v>419405.35037527967</v>
      </c>
      <c r="BG137" s="31">
        <f t="shared" ca="1" si="87"/>
        <v>377690.02966095519</v>
      </c>
      <c r="BH137" s="31">
        <f t="shared" ca="1" si="87"/>
        <v>218547.51388941112</v>
      </c>
      <c r="BI137" s="107">
        <f t="shared" ca="1" si="87"/>
        <v>379798.7870931229</v>
      </c>
      <c r="BJ137" s="10" t="str">
        <f t="shared" si="75"/>
        <v>Research and Development</v>
      </c>
      <c r="BK137" s="127">
        <f ca="1">SUMIFS($B137:$BI137,$B$4:$BI$4,"&lt;=12")</f>
        <v>263530.4701835587</v>
      </c>
      <c r="BL137" s="127">
        <f ca="1">SUMIFS($B137:$BI137,$B$4:$BI$4,"&lt;=24",$B$4:$BI$4,"&gt;12")</f>
        <v>850118.28434049804</v>
      </c>
      <c r="BM137" s="127">
        <f ca="1">SUMIFS($B137:$BI137,$B$4:$BI$4,"&lt;=36",$B$4:$BI$4,"&gt;24")</f>
        <v>1492301.2003347154</v>
      </c>
      <c r="BN137" s="127">
        <f ca="1">SUMIFS($B137:$BI137,$B$4:$BI$4,"&lt;=48",$B$4:$BI$4,"&gt;36")</f>
        <v>2154011.2547315964</v>
      </c>
      <c r="BO137" s="127">
        <f ca="1">SUMIFS($B137:$BI137,$B$4:$BI$4,"&lt;=60",$B$4:$BI$4,"&gt;48")</f>
        <v>3473073.4385157335</v>
      </c>
    </row>
    <row r="138" spans="1:67" ht="13.4" customHeight="1">
      <c r="A138" s="5" t="s">
        <v>94</v>
      </c>
      <c r="B138" s="4">
        <f t="shared" si="62"/>
        <v>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13"/>
      <c r="BJ138" s="8" t="str">
        <f t="shared" si="75"/>
        <v>Intellectual Property</v>
      </c>
      <c r="BK138" s="6"/>
      <c r="BL138" s="6"/>
      <c r="BM138" s="6"/>
      <c r="BN138" s="6"/>
      <c r="BO138" s="6"/>
    </row>
    <row r="139" spans="1:67" ht="13.4" customHeight="1">
      <c r="A139" s="98" t="s">
        <v>95</v>
      </c>
      <c r="B139" s="31">
        <f t="shared" ca="1" si="62"/>
        <v>910.4281554804079</v>
      </c>
      <c r="C139" s="31">
        <f t="shared" ref="C139:L140" ca="1" si="88">VLOOKUP($A139,$80:$98,C$125+1,FALSE)-VLOOKUP($A139,$148:$166,C$125,FALSE)</f>
        <v>1755.5293209072695</v>
      </c>
      <c r="D139" s="31">
        <f t="shared" ca="1" si="88"/>
        <v>3428.3477460579029</v>
      </c>
      <c r="E139" s="31">
        <f t="shared" ca="1" si="88"/>
        <v>2397.9133274029618</v>
      </c>
      <c r="F139" s="31">
        <f t="shared" ca="1" si="88"/>
        <v>3227.5933644130009</v>
      </c>
      <c r="G139" s="31">
        <f t="shared" ca="1" si="88"/>
        <v>5535.5072197923446</v>
      </c>
      <c r="H139" s="31">
        <f t="shared" ca="1" si="88"/>
        <v>5321.3761293129364</v>
      </c>
      <c r="I139" s="31">
        <f t="shared" ca="1" si="88"/>
        <v>7448.5852420372448</v>
      </c>
      <c r="J139" s="31">
        <f t="shared" ca="1" si="88"/>
        <v>9403.1256280207181</v>
      </c>
      <c r="K139" s="31">
        <f t="shared" ca="1" si="88"/>
        <v>9318.9531932586542</v>
      </c>
      <c r="L139" s="31">
        <f t="shared" ca="1" si="88"/>
        <v>10907.326640977275</v>
      </c>
      <c r="M139" s="31">
        <f t="shared" ref="M139:V140" ca="1" si="89">VLOOKUP($A139,$80:$98,M$125+1,FALSE)-VLOOKUP($A139,$148:$166,M$125,FALSE)</f>
        <v>6963.5946410799424</v>
      </c>
      <c r="N139" s="31">
        <f t="shared" ca="1" si="89"/>
        <v>14743.092858053818</v>
      </c>
      <c r="O139" s="31">
        <f t="shared" ca="1" si="89"/>
        <v>14571.137102732107</v>
      </c>
      <c r="P139" s="31">
        <f t="shared" ca="1" si="89"/>
        <v>17998.510108592789</v>
      </c>
      <c r="Q139" s="31">
        <f t="shared" ca="1" si="89"/>
        <v>15521.151803928211</v>
      </c>
      <c r="R139" s="31">
        <f t="shared" ca="1" si="89"/>
        <v>17636.855446072841</v>
      </c>
      <c r="S139" s="31">
        <f t="shared" ca="1" si="89"/>
        <v>14524.153285204997</v>
      </c>
      <c r="T139" s="31">
        <f t="shared" ca="1" si="89"/>
        <v>15196.568973240348</v>
      </c>
      <c r="U139" s="31">
        <f t="shared" ca="1" si="89"/>
        <v>14228.359682506516</v>
      </c>
      <c r="V139" s="31">
        <f t="shared" ca="1" si="89"/>
        <v>23114.079881675192</v>
      </c>
      <c r="W139" s="31">
        <f t="shared" ref="W139:AF140" ca="1" si="90">VLOOKUP($A139,$80:$98,W$125+1,FALSE)-VLOOKUP($A139,$148:$166,W$125,FALSE)</f>
        <v>25919.233289593682</v>
      </c>
      <c r="X139" s="31">
        <f t="shared" ca="1" si="90"/>
        <v>24255.068753743886</v>
      </c>
      <c r="Y139" s="31">
        <f t="shared" ca="1" si="90"/>
        <v>17340.495801076115</v>
      </c>
      <c r="Z139" s="31">
        <f t="shared" ca="1" si="90"/>
        <v>34393.181265385647</v>
      </c>
      <c r="AA139" s="31">
        <f t="shared" ca="1" si="90"/>
        <v>26774.4279480029</v>
      </c>
      <c r="AB139" s="31">
        <f t="shared" ca="1" si="90"/>
        <v>24125.246042013954</v>
      </c>
      <c r="AC139" s="31">
        <f t="shared" ca="1" si="90"/>
        <v>37144.950985659278</v>
      </c>
      <c r="AD139" s="31">
        <f t="shared" ca="1" si="90"/>
        <v>23252.803025924633</v>
      </c>
      <c r="AE139" s="31">
        <f t="shared" ca="1" si="90"/>
        <v>40767.352101462726</v>
      </c>
      <c r="AF139" s="31">
        <f t="shared" ca="1" si="90"/>
        <v>26397.862231314946</v>
      </c>
      <c r="AG139" s="31">
        <f t="shared" ref="AG139:AP140" ca="1" si="91">VLOOKUP($A139,$80:$98,AG$125+1,FALSE)-VLOOKUP($A139,$148:$166,AG$125,FALSE)</f>
        <v>17755.080755683703</v>
      </c>
      <c r="AH139" s="31">
        <f t="shared" ca="1" si="91"/>
        <v>20964.924106249531</v>
      </c>
      <c r="AI139" s="31">
        <f t="shared" ca="1" si="91"/>
        <v>30039.526046158178</v>
      </c>
      <c r="AJ139" s="31">
        <f t="shared" ca="1" si="91"/>
        <v>63269.915369390052</v>
      </c>
      <c r="AK139" s="31">
        <f t="shared" ca="1" si="91"/>
        <v>32651.606334155509</v>
      </c>
      <c r="AL139" s="31">
        <f t="shared" ca="1" si="91"/>
        <v>51286.957738548095</v>
      </c>
      <c r="AM139" s="31">
        <f t="shared" ca="1" si="91"/>
        <v>55710.236883579542</v>
      </c>
      <c r="AN139" s="31">
        <f t="shared" ca="1" si="91"/>
        <v>44261.749680417161</v>
      </c>
      <c r="AO139" s="31">
        <f t="shared" ca="1" si="91"/>
        <v>21166.561595876861</v>
      </c>
      <c r="AP139" s="31">
        <f t="shared" ca="1" si="91"/>
        <v>26340.68304883024</v>
      </c>
      <c r="AQ139" s="31">
        <f t="shared" ref="AQ139:AZ140" ca="1" si="92">VLOOKUP($A139,$80:$98,AQ$125+1,FALSE)-VLOOKUP($A139,$148:$166,AQ$125,FALSE)</f>
        <v>39202.785941998729</v>
      </c>
      <c r="AR139" s="31">
        <f t="shared" ca="1" si="92"/>
        <v>24388.377253823855</v>
      </c>
      <c r="AS139" s="31">
        <f t="shared" ca="1" si="92"/>
        <v>55419.844320081436</v>
      </c>
      <c r="AT139" s="31">
        <f t="shared" ca="1" si="92"/>
        <v>56862.096251249546</v>
      </c>
      <c r="AU139" s="31">
        <f t="shared" ca="1" si="92"/>
        <v>51421.947074919968</v>
      </c>
      <c r="AV139" s="31">
        <f t="shared" ca="1" si="92"/>
        <v>56417.426032423326</v>
      </c>
      <c r="AW139" s="31">
        <f t="shared" ca="1" si="92"/>
        <v>62356.241562634706</v>
      </c>
      <c r="AX139" s="31">
        <f t="shared" ca="1" si="92"/>
        <v>55801.405189005964</v>
      </c>
      <c r="AY139" s="31">
        <f t="shared" ca="1" si="92"/>
        <v>44478.211017663562</v>
      </c>
      <c r="AZ139" s="31">
        <f t="shared" ca="1" si="92"/>
        <v>62877.572978780234</v>
      </c>
      <c r="BA139" s="31">
        <f t="shared" ref="BA139:BI140" ca="1" si="93">VLOOKUP($A139,$80:$98,BA$125+1,FALSE)-VLOOKUP($A139,$148:$166,BA$125,FALSE)</f>
        <v>40282.996424420067</v>
      </c>
      <c r="BB139" s="31">
        <f t="shared" ca="1" si="93"/>
        <v>55373.963325866782</v>
      </c>
      <c r="BC139" s="31">
        <f t="shared" ca="1" si="93"/>
        <v>80043.358006943046</v>
      </c>
      <c r="BD139" s="31">
        <f t="shared" ca="1" si="93"/>
        <v>79995.958090714266</v>
      </c>
      <c r="BE139" s="31">
        <f t="shared" ca="1" si="93"/>
        <v>106475.72097280959</v>
      </c>
      <c r="BF139" s="31">
        <f t="shared" ca="1" si="93"/>
        <v>106165.89304304656</v>
      </c>
      <c r="BG139" s="31">
        <f t="shared" ca="1" si="93"/>
        <v>95727.671820789765</v>
      </c>
      <c r="BH139" s="31">
        <f t="shared" ca="1" si="93"/>
        <v>55811.72163002014</v>
      </c>
      <c r="BI139" s="107">
        <f t="shared" ca="1" si="93"/>
        <v>95627.762574361521</v>
      </c>
      <c r="BJ139" s="10" t="str">
        <f t="shared" si="75"/>
        <v>Patents and Trademarks</v>
      </c>
      <c r="BK139" s="115">
        <f ca="1">SUMIFS($B139:$BI139,$B$4:$BI$4,"&lt;=12")</f>
        <v>66618.28060874065</v>
      </c>
      <c r="BL139" s="115">
        <f ca="1">SUMIFS($B139:$BI139,$B$4:$BI$4,"&lt;=24",$B$4:$BI$4,"&gt;12")</f>
        <v>215048.70698642053</v>
      </c>
      <c r="BM139" s="115">
        <f ca="1">SUMIFS($B139:$BI139,$B$4:$BI$4,"&lt;=36",$B$4:$BI$4,"&gt;24")</f>
        <v>377536.87621140102</v>
      </c>
      <c r="BN139" s="115">
        <f ca="1">SUMIFS($B139:$BI139,$B$4:$BI$4,"&lt;=48",$B$4:$BI$4,"&gt;36")</f>
        <v>544834.90738438349</v>
      </c>
      <c r="BO139" s="115">
        <f ca="1">SUMIFS($B139:$BI139,$B$4:$BI$4,"&lt;=60",$B$4:$BI$4,"&gt;48")</f>
        <v>878662.23507442162</v>
      </c>
    </row>
    <row r="140" spans="1:67" ht="13.4" customHeight="1">
      <c r="A140" s="98" t="s">
        <v>96</v>
      </c>
      <c r="B140" s="31">
        <f t="shared" ca="1" si="62"/>
        <v>3641.7126219216316</v>
      </c>
      <c r="C140" s="31">
        <f t="shared" ca="1" si="88"/>
        <v>7006.9434810377379</v>
      </c>
      <c r="D140" s="31">
        <f t="shared" ca="1" si="88"/>
        <v>13684.258610571418</v>
      </c>
      <c r="E140" s="31">
        <f t="shared" ca="1" si="88"/>
        <v>9534.7569502913848</v>
      </c>
      <c r="F140" s="31">
        <f t="shared" ca="1" si="88"/>
        <v>12870.882371856291</v>
      </c>
      <c r="G140" s="31">
        <f t="shared" ca="1" si="88"/>
        <v>22088.564748810793</v>
      </c>
      <c r="H140" s="31">
        <f t="shared" ca="1" si="88"/>
        <v>21193.691598008194</v>
      </c>
      <c r="I140" s="31">
        <f t="shared" ca="1" si="88"/>
        <v>29706.416473654128</v>
      </c>
      <c r="J140" s="31">
        <f t="shared" ca="1" si="88"/>
        <v>37489.092128836375</v>
      </c>
      <c r="K140" s="31">
        <f t="shared" ca="1" si="88"/>
        <v>37120.12243242799</v>
      </c>
      <c r="L140" s="31">
        <f t="shared" ca="1" si="88"/>
        <v>43475.28809685984</v>
      </c>
      <c r="M140" s="31">
        <f t="shared" ca="1" si="89"/>
        <v>27673.873274195561</v>
      </c>
      <c r="N140" s="31">
        <f t="shared" ca="1" si="89"/>
        <v>58857.815732281641</v>
      </c>
      <c r="O140" s="31">
        <f t="shared" ca="1" si="89"/>
        <v>58039.784827460317</v>
      </c>
      <c r="P140" s="31">
        <f t="shared" ca="1" si="89"/>
        <v>71753.227845854519</v>
      </c>
      <c r="Q140" s="31">
        <f t="shared" ca="1" si="89"/>
        <v>61786.638818807267</v>
      </c>
      <c r="R140" s="31">
        <f t="shared" ca="1" si="89"/>
        <v>70291.218990866764</v>
      </c>
      <c r="S140" s="31">
        <f t="shared" ca="1" si="89"/>
        <v>57804.800573330642</v>
      </c>
      <c r="T140" s="31">
        <f t="shared" ca="1" si="89"/>
        <v>60546.638442937052</v>
      </c>
      <c r="U140" s="31">
        <f t="shared" ca="1" si="89"/>
        <v>56662.159559222258</v>
      </c>
      <c r="V140" s="31">
        <f t="shared" ca="1" si="89"/>
        <v>92221.27419174902</v>
      </c>
      <c r="W140" s="31">
        <f t="shared" ca="1" si="90"/>
        <v>103293.65720480474</v>
      </c>
      <c r="X140" s="31">
        <f t="shared" ca="1" si="90"/>
        <v>96591.481759762071</v>
      </c>
      <c r="Y140" s="31">
        <f t="shared" ca="1" si="90"/>
        <v>68961.305335535508</v>
      </c>
      <c r="Z140" s="31">
        <f t="shared" ca="1" si="90"/>
        <v>137287.05578043108</v>
      </c>
      <c r="AA140" s="31">
        <f t="shared" ca="1" si="90"/>
        <v>106526.87268159777</v>
      </c>
      <c r="AB140" s="31">
        <f t="shared" ca="1" si="90"/>
        <v>96059.500694842543</v>
      </c>
      <c r="AC140" s="31">
        <f t="shared" ca="1" si="90"/>
        <v>148181.39553754698</v>
      </c>
      <c r="AD140" s="31">
        <f t="shared" ca="1" si="90"/>
        <v>92395.449657313307</v>
      </c>
      <c r="AE140" s="31">
        <f t="shared" ca="1" si="90"/>
        <v>162686.99304247202</v>
      </c>
      <c r="AF140" s="31">
        <f t="shared" ca="1" si="90"/>
        <v>104915.17985159688</v>
      </c>
      <c r="AG140" s="31">
        <f t="shared" ca="1" si="91"/>
        <v>70585.994227826755</v>
      </c>
      <c r="AH140" s="31">
        <f t="shared" ca="1" si="91"/>
        <v>83567.397819027639</v>
      </c>
      <c r="AI140" s="31">
        <f t="shared" ca="1" si="91"/>
        <v>119811.1246045783</v>
      </c>
      <c r="AJ140" s="31">
        <f t="shared" ca="1" si="91"/>
        <v>252581.89420662468</v>
      </c>
      <c r="AK140" s="31">
        <f t="shared" ca="1" si="91"/>
        <v>129556.07480772333</v>
      </c>
      <c r="AL140" s="31">
        <f t="shared" ca="1" si="91"/>
        <v>204612.39043636393</v>
      </c>
      <c r="AM140" s="31">
        <f t="shared" ca="1" si="91"/>
        <v>221990.62690965761</v>
      </c>
      <c r="AN140" s="31">
        <f t="shared" ca="1" si="91"/>
        <v>176125.5807788145</v>
      </c>
      <c r="AO140" s="31">
        <f t="shared" ca="1" si="91"/>
        <v>83936.229038357604</v>
      </c>
      <c r="AP140" s="31">
        <f t="shared" ca="1" si="91"/>
        <v>105016.03964659925</v>
      </c>
      <c r="AQ140" s="31">
        <f t="shared" ca="1" si="92"/>
        <v>156375.0214884204</v>
      </c>
      <c r="AR140" s="31">
        <f t="shared" ca="1" si="92"/>
        <v>96903.763601925239</v>
      </c>
      <c r="AS140" s="31">
        <f t="shared" ca="1" si="92"/>
        <v>221278.31887120678</v>
      </c>
      <c r="AT140" s="31">
        <f t="shared" ca="1" si="92"/>
        <v>226528.06308640615</v>
      </c>
      <c r="AU140" s="31">
        <f t="shared" ca="1" si="92"/>
        <v>204747.75604481398</v>
      </c>
      <c r="AV140" s="31">
        <f t="shared" ca="1" si="92"/>
        <v>224820.50528056853</v>
      </c>
      <c r="AW140" s="31">
        <f t="shared" ca="1" si="92"/>
        <v>248491.75247374113</v>
      </c>
      <c r="AX140" s="31">
        <f t="shared" ca="1" si="92"/>
        <v>222174.1268447866</v>
      </c>
      <c r="AY140" s="31">
        <f t="shared" ca="1" si="92"/>
        <v>176991.41643343112</v>
      </c>
      <c r="AZ140" s="31">
        <f t="shared" ca="1" si="92"/>
        <v>250776.66696180339</v>
      </c>
      <c r="BA140" s="31">
        <f t="shared" ca="1" si="93"/>
        <v>160090.13968931156</v>
      </c>
      <c r="BB140" s="31">
        <f t="shared" ca="1" si="93"/>
        <v>220833.15207979653</v>
      </c>
      <c r="BC140" s="31">
        <f t="shared" ca="1" si="93"/>
        <v>319256.05514920503</v>
      </c>
      <c r="BD140" s="31">
        <f t="shared" ca="1" si="93"/>
        <v>318657.42120339605</v>
      </c>
      <c r="BE140" s="31">
        <f t="shared" ca="1" si="93"/>
        <v>424580.67134938866</v>
      </c>
      <c r="BF140" s="31">
        <f t="shared" ca="1" si="93"/>
        <v>422899.99526048813</v>
      </c>
      <c r="BG140" s="31">
        <f t="shared" ca="1" si="93"/>
        <v>381155.95220670576</v>
      </c>
      <c r="BH140" s="31">
        <f t="shared" ca="1" si="93"/>
        <v>221666.04811537117</v>
      </c>
      <c r="BI140" s="107">
        <f t="shared" ca="1" si="93"/>
        <v>381594.02859031828</v>
      </c>
      <c r="BJ140" s="10" t="str">
        <f t="shared" si="75"/>
        <v>Proprietary Technology</v>
      </c>
      <c r="BK140" s="115">
        <f ca="1">SUMIFS($B140:$BI140,$B$4:$BI$4,"&lt;=12")</f>
        <v>265485.60278847138</v>
      </c>
      <c r="BL140" s="115">
        <f ca="1">SUMIFS($B140:$BI140,$B$4:$BI$4,"&lt;=24",$B$4:$BI$4,"&gt;12")</f>
        <v>856810.00328261184</v>
      </c>
      <c r="BM140" s="115">
        <f ca="1">SUMIFS($B140:$BI140,$B$4:$BI$4,"&lt;=36",$B$4:$BI$4,"&gt;24")</f>
        <v>1504154.9329115814</v>
      </c>
      <c r="BN140" s="115">
        <f ca="1">SUMIFS($B140:$BI140,$B$4:$BI$4,"&lt;=48",$B$4:$BI$4,"&gt;36")</f>
        <v>2170826.0476568751</v>
      </c>
      <c r="BO140" s="115">
        <f ca="1">SUMIFS($B140:$BI140,$B$4:$BI$4,"&lt;=60",$B$4:$BI$4,"&gt;48")</f>
        <v>3500675.6738840025</v>
      </c>
    </row>
    <row r="141" spans="1:67" ht="13.4" customHeight="1">
      <c r="A141" s="5" t="s">
        <v>97</v>
      </c>
      <c r="B141" s="4">
        <f t="shared" si="62"/>
        <v>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13"/>
      <c r="BJ141" s="8" t="str">
        <f t="shared" si="75"/>
        <v>Cloud Services</v>
      </c>
      <c r="BK141" s="6"/>
      <c r="BL141" s="6"/>
      <c r="BM141" s="6"/>
      <c r="BN141" s="6"/>
      <c r="BO141" s="6"/>
    </row>
    <row r="142" spans="1:67" ht="13.4" customHeight="1">
      <c r="A142" s="98" t="s">
        <v>98</v>
      </c>
      <c r="B142" s="31">
        <f t="shared" ca="1" si="62"/>
        <v>5462.5689328824474</v>
      </c>
      <c r="C142" s="31">
        <f t="shared" ref="C142:AH142" ca="1" si="94">VLOOKUP($A142,$80:$98,C$125+1,FALSE)-VLOOKUP($A142,$148:$166,C$125,FALSE)</f>
        <v>10464.893813782586</v>
      </c>
      <c r="D142" s="31">
        <f t="shared" ca="1" si="94"/>
        <v>20439.559812473719</v>
      </c>
      <c r="E142" s="31">
        <f t="shared" ca="1" si="94"/>
        <v>14132.529327861324</v>
      </c>
      <c r="F142" s="31">
        <f t="shared" ca="1" si="94"/>
        <v>19189.965864198723</v>
      </c>
      <c r="G142" s="31">
        <f t="shared" ca="1" si="94"/>
        <v>32973.900388461072</v>
      </c>
      <c r="H142" s="31">
        <f t="shared" ca="1" si="94"/>
        <v>31517.079449898079</v>
      </c>
      <c r="I142" s="31">
        <f t="shared" ca="1" si="94"/>
        <v>44299.261197957989</v>
      </c>
      <c r="J142" s="31">
        <f t="shared" ca="1" si="94"/>
        <v>55866.647379209273</v>
      </c>
      <c r="K142" s="31">
        <f t="shared" ca="1" si="94"/>
        <v>55217.686510598949</v>
      </c>
      <c r="L142" s="31">
        <f t="shared" ca="1" si="94"/>
        <v>64756.638900518461</v>
      </c>
      <c r="M142" s="31">
        <f t="shared" ca="1" si="94"/>
        <v>40974.973697495443</v>
      </c>
      <c r="N142" s="31">
        <f t="shared" ca="1" si="94"/>
        <v>87949.73078605831</v>
      </c>
      <c r="O142" s="31">
        <f t="shared" ca="1" si="94"/>
        <v>86329.571091409685</v>
      </c>
      <c r="P142" s="31">
        <f t="shared" ca="1" si="94"/>
        <v>106916.51289426822</v>
      </c>
      <c r="Q142" s="31">
        <f t="shared" ca="1" si="94"/>
        <v>91794.931694712941</v>
      </c>
      <c r="R142" s="31">
        <f t="shared" ca="1" si="94"/>
        <v>104679.24594329002</v>
      </c>
      <c r="S142" s="31">
        <f t="shared" ca="1" si="94"/>
        <v>85841.186998326957</v>
      </c>
      <c r="T142" s="31">
        <f t="shared" ca="1" si="94"/>
        <v>90111.831221600092</v>
      </c>
      <c r="U142" s="31">
        <f t="shared" ca="1" si="94"/>
        <v>84248.208465676769</v>
      </c>
      <c r="V142" s="31">
        <f t="shared" ca="1" si="94"/>
        <v>137636.05147435251</v>
      </c>
      <c r="W142" s="31">
        <f t="shared" ca="1" si="94"/>
        <v>153799.31754336474</v>
      </c>
      <c r="X142" s="31">
        <f t="shared" ca="1" si="94"/>
        <v>143615.07139564707</v>
      </c>
      <c r="Y142" s="31">
        <f t="shared" ca="1" si="94"/>
        <v>102255.76700203949</v>
      </c>
      <c r="Z142" s="31">
        <f t="shared" ca="1" si="94"/>
        <v>205088.33720397344</v>
      </c>
      <c r="AA142" s="31">
        <f t="shared" ca="1" si="94"/>
        <v>158088.25826625249</v>
      </c>
      <c r="AB142" s="31">
        <f t="shared" ca="1" si="94"/>
        <v>142786.03264634626</v>
      </c>
      <c r="AC142" s="31">
        <f t="shared" ca="1" si="94"/>
        <v>221093.06985423359</v>
      </c>
      <c r="AD142" s="31">
        <f t="shared" ca="1" si="94"/>
        <v>136760.55743261869</v>
      </c>
      <c r="AE142" s="31">
        <f t="shared" ca="1" si="94"/>
        <v>242906.09006054746</v>
      </c>
      <c r="AF142" s="31">
        <f t="shared" ca="1" si="94"/>
        <v>155357.92235608376</v>
      </c>
      <c r="AG142" s="31">
        <f t="shared" ca="1" si="94"/>
        <v>104601.13238395036</v>
      </c>
      <c r="AH142" s="31">
        <f t="shared" ca="1" si="94"/>
        <v>124490.0694499901</v>
      </c>
      <c r="AI142" s="31">
        <f t="shared" ref="AI142:BI142" ca="1" si="95">VLOOKUP($A142,$80:$98,AI$125+1,FALSE)-VLOOKUP($A142,$148:$166,AI$125,FALSE)</f>
        <v>178686.44488877212</v>
      </c>
      <c r="AJ142" s="31">
        <f t="shared" ca="1" si="95"/>
        <v>377392.37295268133</v>
      </c>
      <c r="AK142" s="31">
        <f t="shared" ca="1" si="95"/>
        <v>191201.51300662314</v>
      </c>
      <c r="AL142" s="31">
        <f t="shared" ca="1" si="95"/>
        <v>305351.34470619872</v>
      </c>
      <c r="AM142" s="31">
        <f t="shared" ca="1" si="95"/>
        <v>330454.40616650431</v>
      </c>
      <c r="AN142" s="31">
        <f t="shared" ca="1" si="95"/>
        <v>261455.68056848401</v>
      </c>
      <c r="AO142" s="31">
        <f t="shared" ca="1" si="95"/>
        <v>123748.31864113019</v>
      </c>
      <c r="AP142" s="31">
        <f t="shared" ca="1" si="95"/>
        <v>156510.79035552617</v>
      </c>
      <c r="AQ142" s="31">
        <f t="shared" ca="1" si="95"/>
        <v>233266.71955562104</v>
      </c>
      <c r="AR142" s="31">
        <f t="shared" ca="1" si="95"/>
        <v>143422.55451223277</v>
      </c>
      <c r="AS142" s="31">
        <f t="shared" ca="1" si="95"/>
        <v>330738.39944329706</v>
      </c>
      <c r="AT142" s="31">
        <f t="shared" ca="1" si="95"/>
        <v>337045.76695811102</v>
      </c>
      <c r="AU142" s="31">
        <f t="shared" ca="1" si="95"/>
        <v>304335.80540649919</v>
      </c>
      <c r="AV142" s="31">
        <f t="shared" ca="1" si="95"/>
        <v>334717.8414479713</v>
      </c>
      <c r="AW142" s="31">
        <f t="shared" ca="1" si="95"/>
        <v>369969.25433581928</v>
      </c>
      <c r="AX142" s="31">
        <f t="shared" ca="1" si="95"/>
        <v>330201.18293417135</v>
      </c>
      <c r="AY142" s="31">
        <f t="shared" ca="1" si="95"/>
        <v>262760.94818680361</v>
      </c>
      <c r="AZ142" s="31">
        <f t="shared" ca="1" si="95"/>
        <v>373998.04401167622</v>
      </c>
      <c r="BA142" s="31">
        <f t="shared" ca="1" si="95"/>
        <v>237036.61713746196</v>
      </c>
      <c r="BB142" s="31">
        <f t="shared" ca="1" si="95"/>
        <v>329300.24458018685</v>
      </c>
      <c r="BC142" s="31">
        <f t="shared" ca="1" si="95"/>
        <v>476156.15971513517</v>
      </c>
      <c r="BD142" s="31">
        <f t="shared" ca="1" si="95"/>
        <v>474040.89649920684</v>
      </c>
      <c r="BE142" s="31">
        <f t="shared" ca="1" si="95"/>
        <v>632953.54318080528</v>
      </c>
      <c r="BF142" s="31">
        <f t="shared" ca="1" si="95"/>
        <v>629108.02556291944</v>
      </c>
      <c r="BG142" s="31">
        <f t="shared" ca="1" si="95"/>
        <v>566535.04449143272</v>
      </c>
      <c r="BH142" s="31">
        <f t="shared" ca="1" si="95"/>
        <v>327821.27083411667</v>
      </c>
      <c r="BI142" s="107">
        <f t="shared" ca="1" si="95"/>
        <v>569698.18063968432</v>
      </c>
      <c r="BJ142" s="10" t="str">
        <f t="shared" si="75"/>
        <v>Long-term Cloud Contracts</v>
      </c>
      <c r="BK142" s="115">
        <f ca="1">SUMIFS($B142:$BI142,$B$4:$BI$4,"&lt;=12")</f>
        <v>395295.70527533803</v>
      </c>
      <c r="BL142" s="115">
        <f ca="1">SUMIFS($B142:$BI142,$B$4:$BI$4,"&lt;=24",$B$4:$BI$4,"&gt;12")</f>
        <v>1275177.4265107468</v>
      </c>
      <c r="BM142" s="115">
        <f ca="1">SUMIFS($B142:$BI142,$B$4:$BI$4,"&lt;=36",$B$4:$BI$4,"&gt;24")</f>
        <v>2238451.8005020726</v>
      </c>
      <c r="BN142" s="115">
        <f ca="1">SUMIFS($B142:$BI142,$B$4:$BI$4,"&lt;=48",$B$4:$BI$4,"&gt;36")</f>
        <v>3231016.8820973951</v>
      </c>
      <c r="BO142" s="115">
        <f ca="1">SUMIFS($B142:$BI142,$B$4:$BI$4,"&lt;=60",$B$4:$BI$4,"&gt;48")</f>
        <v>5209610.1577736</v>
      </c>
    </row>
    <row r="143" spans="1:67" ht="13.4" customHeight="1">
      <c r="A143" s="5" t="s">
        <v>99</v>
      </c>
      <c r="B143" s="4">
        <f t="shared" si="62"/>
        <v>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13"/>
      <c r="BJ143" s="8" t="str">
        <f t="shared" si="75"/>
        <v>Security</v>
      </c>
      <c r="BK143" s="6"/>
      <c r="BL143" s="6"/>
      <c r="BM143" s="6"/>
      <c r="BN143" s="6"/>
      <c r="BO143" s="6"/>
    </row>
    <row r="144" spans="1:67" ht="13.4" customHeight="1">
      <c r="A144" s="98" t="s">
        <v>100</v>
      </c>
      <c r="B144" s="31">
        <f t="shared" ca="1" si="62"/>
        <v>3641.7126219216316</v>
      </c>
      <c r="C144" s="31">
        <f t="shared" ref="C144:AH144" ca="1" si="96">VLOOKUP($A144,$80:$98,C$125+1,FALSE)-VLOOKUP($A144,$148:$166,C$125,FALSE)</f>
        <v>6976.5958758550578</v>
      </c>
      <c r="D144" s="31">
        <f t="shared" ca="1" si="96"/>
        <v>13626.373208315816</v>
      </c>
      <c r="E144" s="31">
        <f t="shared" ca="1" si="96"/>
        <v>9421.6862185742157</v>
      </c>
      <c r="F144" s="31">
        <f t="shared" ca="1" si="96"/>
        <v>12793.310576132482</v>
      </c>
      <c r="G144" s="31">
        <f t="shared" ca="1" si="96"/>
        <v>21982.600258974053</v>
      </c>
      <c r="H144" s="31">
        <f t="shared" ca="1" si="96"/>
        <v>21011.386299932052</v>
      </c>
      <c r="I144" s="31">
        <f t="shared" ca="1" si="96"/>
        <v>29532.840798638663</v>
      </c>
      <c r="J144" s="31">
        <f t="shared" ca="1" si="96"/>
        <v>37244.431586139515</v>
      </c>
      <c r="K144" s="31">
        <f t="shared" ca="1" si="96"/>
        <v>36811.791007065971</v>
      </c>
      <c r="L144" s="31">
        <f t="shared" ca="1" si="96"/>
        <v>43171.092600345641</v>
      </c>
      <c r="M144" s="31">
        <f t="shared" ca="1" si="96"/>
        <v>27316.649131663631</v>
      </c>
      <c r="N144" s="31">
        <f t="shared" ca="1" si="96"/>
        <v>58633.153857372214</v>
      </c>
      <c r="O144" s="31">
        <f t="shared" ca="1" si="96"/>
        <v>57553.047394273126</v>
      </c>
      <c r="P144" s="31">
        <f t="shared" ca="1" si="96"/>
        <v>71277.675262845471</v>
      </c>
      <c r="Q144" s="31">
        <f t="shared" ca="1" si="96"/>
        <v>61196.621129808627</v>
      </c>
      <c r="R144" s="31">
        <f t="shared" ca="1" si="96"/>
        <v>69786.163962193357</v>
      </c>
      <c r="S144" s="31">
        <f t="shared" ca="1" si="96"/>
        <v>57227.457998884645</v>
      </c>
      <c r="T144" s="31">
        <f t="shared" ca="1" si="96"/>
        <v>60074.554147733397</v>
      </c>
      <c r="U144" s="31">
        <f t="shared" ca="1" si="96"/>
        <v>56165.47231045118</v>
      </c>
      <c r="V144" s="31">
        <f t="shared" ca="1" si="96"/>
        <v>91757.367649568347</v>
      </c>
      <c r="W144" s="31">
        <f t="shared" ca="1" si="96"/>
        <v>102532.87836224317</v>
      </c>
      <c r="X144" s="31">
        <f t="shared" ca="1" si="96"/>
        <v>95743.380930431391</v>
      </c>
      <c r="Y144" s="31">
        <f t="shared" ca="1" si="96"/>
        <v>68170.511334693001</v>
      </c>
      <c r="Z144" s="31">
        <f t="shared" ca="1" si="96"/>
        <v>136725.55813598231</v>
      </c>
      <c r="AA144" s="31">
        <f t="shared" ca="1" si="96"/>
        <v>105392.17217750165</v>
      </c>
      <c r="AB144" s="31">
        <f t="shared" ca="1" si="96"/>
        <v>95190.688430897499</v>
      </c>
      <c r="AC144" s="31">
        <f t="shared" ca="1" si="96"/>
        <v>147395.3799028224</v>
      </c>
      <c r="AD144" s="31">
        <f t="shared" ca="1" si="96"/>
        <v>91173.704955079156</v>
      </c>
      <c r="AE144" s="31">
        <f t="shared" ca="1" si="96"/>
        <v>161937.39337369832</v>
      </c>
      <c r="AF144" s="31">
        <f t="shared" ca="1" si="96"/>
        <v>103571.94823738918</v>
      </c>
      <c r="AG144" s="31">
        <f t="shared" ca="1" si="96"/>
        <v>69734.088255966912</v>
      </c>
      <c r="AH144" s="31">
        <f t="shared" ca="1" si="96"/>
        <v>82993.379633326738</v>
      </c>
      <c r="AI144" s="31">
        <f t="shared" ref="AI144:BI144" ca="1" si="97">VLOOKUP($A144,$80:$98,AI$125+1,FALSE)-VLOOKUP($A144,$148:$166,AI$125,FALSE)</f>
        <v>119124.29659251476</v>
      </c>
      <c r="AJ144" s="31">
        <f t="shared" ca="1" si="97"/>
        <v>251594.91530178758</v>
      </c>
      <c r="AK144" s="31">
        <f t="shared" ca="1" si="97"/>
        <v>127467.67533774873</v>
      </c>
      <c r="AL144" s="31">
        <f t="shared" ca="1" si="97"/>
        <v>203567.56313746583</v>
      </c>
      <c r="AM144" s="31">
        <f t="shared" ca="1" si="97"/>
        <v>220302.93744433622</v>
      </c>
      <c r="AN144" s="31">
        <f t="shared" ca="1" si="97"/>
        <v>174303.78704565603</v>
      </c>
      <c r="AO144" s="31">
        <f t="shared" ca="1" si="97"/>
        <v>82498.879094086791</v>
      </c>
      <c r="AP144" s="31">
        <f t="shared" ca="1" si="97"/>
        <v>104340.52690368412</v>
      </c>
      <c r="AQ144" s="31">
        <f t="shared" ca="1" si="97"/>
        <v>155511.146370414</v>
      </c>
      <c r="AR144" s="31">
        <f t="shared" ca="1" si="97"/>
        <v>95615.036341488507</v>
      </c>
      <c r="AS144" s="31">
        <f t="shared" ca="1" si="97"/>
        <v>220492.26629553136</v>
      </c>
      <c r="AT144" s="31">
        <f t="shared" ca="1" si="97"/>
        <v>224697.17797207402</v>
      </c>
      <c r="AU144" s="31">
        <f t="shared" ca="1" si="97"/>
        <v>202890.53693766613</v>
      </c>
      <c r="AV144" s="31">
        <f t="shared" ca="1" si="97"/>
        <v>223145.22763198087</v>
      </c>
      <c r="AW144" s="31">
        <f t="shared" ca="1" si="97"/>
        <v>246646.16955721285</v>
      </c>
      <c r="AX144" s="31">
        <f t="shared" ca="1" si="97"/>
        <v>220134.12195611422</v>
      </c>
      <c r="AY144" s="31">
        <f t="shared" ca="1" si="97"/>
        <v>175173.96545786911</v>
      </c>
      <c r="AZ144" s="31">
        <f t="shared" ca="1" si="97"/>
        <v>249332.02934111751</v>
      </c>
      <c r="BA144" s="31">
        <f t="shared" ca="1" si="97"/>
        <v>158024.41142497465</v>
      </c>
      <c r="BB144" s="31">
        <f t="shared" ca="1" si="97"/>
        <v>219533.4963867912</v>
      </c>
      <c r="BC144" s="31">
        <f t="shared" ca="1" si="97"/>
        <v>317437.43981009012</v>
      </c>
      <c r="BD144" s="31">
        <f t="shared" ca="1" si="97"/>
        <v>316027.2643328046</v>
      </c>
      <c r="BE144" s="31">
        <f t="shared" ca="1" si="97"/>
        <v>421969.02878720354</v>
      </c>
      <c r="BF144" s="31">
        <f t="shared" ca="1" si="97"/>
        <v>419405.35037527967</v>
      </c>
      <c r="BG144" s="31">
        <f t="shared" ca="1" si="97"/>
        <v>377690.02966095519</v>
      </c>
      <c r="BH144" s="31">
        <f t="shared" ca="1" si="97"/>
        <v>218547.51388941112</v>
      </c>
      <c r="BI144" s="107">
        <f t="shared" ca="1" si="97"/>
        <v>379798.7870931229</v>
      </c>
      <c r="BJ144" s="10" t="str">
        <f t="shared" si="75"/>
        <v>Cybersecurity Infrastructure</v>
      </c>
      <c r="BK144" s="115">
        <f ca="1">SUMIFS($B144:$BI144,$B$4:$BI$4,"&lt;=12")</f>
        <v>263530.4701835587</v>
      </c>
      <c r="BL144" s="115">
        <f ca="1">SUMIFS($B144:$BI144,$B$4:$BI$4,"&lt;=24",$B$4:$BI$4,"&gt;12")</f>
        <v>850118.28434049804</v>
      </c>
      <c r="BM144" s="115">
        <f ca="1">SUMIFS($B144:$BI144,$B$4:$BI$4,"&lt;=36",$B$4:$BI$4,"&gt;24")</f>
        <v>1492301.2003347154</v>
      </c>
      <c r="BN144" s="115">
        <f ca="1">SUMIFS($B144:$BI144,$B$4:$BI$4,"&lt;=48",$B$4:$BI$4,"&gt;36")</f>
        <v>2154011.2547315964</v>
      </c>
      <c r="BO144" s="115">
        <f ca="1">SUMIFS($B144:$BI144,$B$4:$BI$4,"&lt;=60",$B$4:$BI$4,"&gt;48")</f>
        <v>3473073.4385157335</v>
      </c>
    </row>
    <row r="145" spans="1:67" ht="13.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13"/>
      <c r="BJ145" s="17">
        <f t="shared" si="75"/>
        <v>0</v>
      </c>
      <c r="BK145" s="4"/>
      <c r="BL145" s="4"/>
      <c r="BM145" s="4"/>
      <c r="BN145" s="4"/>
      <c r="BO145" s="4"/>
    </row>
    <row r="146" spans="1:67" ht="12.95" customHeight="1">
      <c r="A146" s="135" t="s">
        <v>251</v>
      </c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6" t="str">
        <f t="shared" si="75"/>
        <v>Depreciation Schedule</v>
      </c>
      <c r="BK146" s="84"/>
      <c r="BL146" s="84"/>
      <c r="BM146" s="84"/>
      <c r="BN146" s="84"/>
      <c r="BO146" s="84"/>
    </row>
    <row r="147" spans="1:67" ht="12.95" customHeight="1">
      <c r="A147" s="121"/>
      <c r="B147" s="122" t="s">
        <v>151</v>
      </c>
      <c r="C147" s="122" t="s">
        <v>152</v>
      </c>
      <c r="D147" s="122" t="s">
        <v>153</v>
      </c>
      <c r="E147" s="122" t="s">
        <v>154</v>
      </c>
      <c r="F147" s="122" t="s">
        <v>155</v>
      </c>
      <c r="G147" s="122" t="s">
        <v>156</v>
      </c>
      <c r="H147" s="122" t="s">
        <v>157</v>
      </c>
      <c r="I147" s="122" t="s">
        <v>158</v>
      </c>
      <c r="J147" s="122" t="s">
        <v>159</v>
      </c>
      <c r="K147" s="122" t="s">
        <v>160</v>
      </c>
      <c r="L147" s="122" t="s">
        <v>161</v>
      </c>
      <c r="M147" s="122" t="s">
        <v>162</v>
      </c>
      <c r="N147" s="122" t="s">
        <v>163</v>
      </c>
      <c r="O147" s="122" t="s">
        <v>164</v>
      </c>
      <c r="P147" s="122" t="s">
        <v>165</v>
      </c>
      <c r="Q147" s="122" t="s">
        <v>166</v>
      </c>
      <c r="R147" s="122" t="s">
        <v>167</v>
      </c>
      <c r="S147" s="122" t="s">
        <v>168</v>
      </c>
      <c r="T147" s="122" t="s">
        <v>169</v>
      </c>
      <c r="U147" s="122" t="s">
        <v>170</v>
      </c>
      <c r="V147" s="122" t="s">
        <v>171</v>
      </c>
      <c r="W147" s="122" t="s">
        <v>172</v>
      </c>
      <c r="X147" s="122" t="s">
        <v>173</v>
      </c>
      <c r="Y147" s="122" t="s">
        <v>174</v>
      </c>
      <c r="Z147" s="122" t="s">
        <v>175</v>
      </c>
      <c r="AA147" s="122" t="s">
        <v>176</v>
      </c>
      <c r="AB147" s="122" t="s">
        <v>177</v>
      </c>
      <c r="AC147" s="122" t="s">
        <v>178</v>
      </c>
      <c r="AD147" s="122" t="s">
        <v>179</v>
      </c>
      <c r="AE147" s="122" t="s">
        <v>180</v>
      </c>
      <c r="AF147" s="122" t="s">
        <v>181</v>
      </c>
      <c r="AG147" s="122" t="s">
        <v>182</v>
      </c>
      <c r="AH147" s="122" t="s">
        <v>183</v>
      </c>
      <c r="AI147" s="122" t="s">
        <v>184</v>
      </c>
      <c r="AJ147" s="122" t="s">
        <v>185</v>
      </c>
      <c r="AK147" s="122" t="s">
        <v>186</v>
      </c>
      <c r="AL147" s="122" t="s">
        <v>187</v>
      </c>
      <c r="AM147" s="122" t="s">
        <v>188</v>
      </c>
      <c r="AN147" s="122" t="s">
        <v>189</v>
      </c>
      <c r="AO147" s="122" t="s">
        <v>190</v>
      </c>
      <c r="AP147" s="122" t="s">
        <v>191</v>
      </c>
      <c r="AQ147" s="122" t="s">
        <v>192</v>
      </c>
      <c r="AR147" s="122" t="s">
        <v>193</v>
      </c>
      <c r="AS147" s="122" t="s">
        <v>194</v>
      </c>
      <c r="AT147" s="122" t="s">
        <v>195</v>
      </c>
      <c r="AU147" s="122" t="s">
        <v>196</v>
      </c>
      <c r="AV147" s="122" t="s">
        <v>197</v>
      </c>
      <c r="AW147" s="122" t="s">
        <v>198</v>
      </c>
      <c r="AX147" s="122" t="s">
        <v>199</v>
      </c>
      <c r="AY147" s="122" t="s">
        <v>200</v>
      </c>
      <c r="AZ147" s="122" t="s">
        <v>201</v>
      </c>
      <c r="BA147" s="122" t="s">
        <v>202</v>
      </c>
      <c r="BB147" s="122" t="s">
        <v>203</v>
      </c>
      <c r="BC147" s="122" t="s">
        <v>204</v>
      </c>
      <c r="BD147" s="122" t="s">
        <v>205</v>
      </c>
      <c r="BE147" s="122" t="s">
        <v>206</v>
      </c>
      <c r="BF147" s="122" t="s">
        <v>207</v>
      </c>
      <c r="BG147" s="122" t="s">
        <v>208</v>
      </c>
      <c r="BH147" s="122" t="s">
        <v>209</v>
      </c>
      <c r="BI147" s="123" t="s">
        <v>210</v>
      </c>
      <c r="BJ147" s="124">
        <f t="shared" si="75"/>
        <v>0</v>
      </c>
      <c r="BK147" s="81" t="s">
        <v>151</v>
      </c>
      <c r="BL147" s="81" t="s">
        <v>152</v>
      </c>
      <c r="BM147" s="81" t="s">
        <v>153</v>
      </c>
      <c r="BN147" s="81" t="s">
        <v>154</v>
      </c>
      <c r="BO147" s="81" t="s">
        <v>155</v>
      </c>
    </row>
    <row r="148" spans="1:67" ht="13.4" customHeight="1">
      <c r="A148" s="5" t="s">
        <v>81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13"/>
      <c r="BJ148" s="8" t="str">
        <f t="shared" si="75"/>
        <v>Technology Infrastructure</v>
      </c>
      <c r="BK148" s="4"/>
      <c r="BL148" s="4"/>
      <c r="BM148" s="4"/>
      <c r="BN148" s="4"/>
      <c r="BO148" s="4"/>
    </row>
    <row r="149" spans="1:67" ht="13.4" customHeight="1">
      <c r="A149" s="98" t="s">
        <v>82</v>
      </c>
      <c r="B149" s="31">
        <f ca="1">VLOOKUP($A149,$126:$144,B$147+1,FALSE)/VLOOKUP($A149,'Assumption Table'!$B$83:$C$101,2,FALSE)</f>
        <v>91.042815548040792</v>
      </c>
      <c r="C149" s="31">
        <f ca="1">VLOOKUP($A149,$126:$144,C$147+1,FALSE)/VLOOKUP($A149,'Assumption Table'!$B$83:$C$101,2,FALSE)</f>
        <v>174.41489689637643</v>
      </c>
      <c r="D149" s="31">
        <f ca="1">VLOOKUP($A149,$126:$144,D$147+1,FALSE)/VLOOKUP($A149,'Assumption Table'!$B$83:$C$101,2,FALSE)</f>
        <v>340.65933020789532</v>
      </c>
      <c r="E149" s="31">
        <f ca="1">VLOOKUP($A149,$126:$144,E$147+1,FALSE)/VLOOKUP($A149,'Assumption Table'!$B$83:$C$101,2,FALSE)</f>
        <v>235.5421554643554</v>
      </c>
      <c r="F149" s="31">
        <f ca="1">VLOOKUP($A149,$126:$144,F$147+1,FALSE)/VLOOKUP($A149,'Assumption Table'!$B$83:$C$101,2,FALSE)</f>
        <v>319.83276440331207</v>
      </c>
      <c r="G149" s="31">
        <f ca="1">VLOOKUP($A149,$126:$144,G$147+1,FALSE)/VLOOKUP($A149,'Assumption Table'!$B$83:$C$101,2,FALSE)</f>
        <v>549.56500647435121</v>
      </c>
      <c r="H149" s="31">
        <f ca="1">VLOOKUP($A149,$126:$144,H$147+1,FALSE)/VLOOKUP($A149,'Assumption Table'!$B$83:$C$101,2,FALSE)</f>
        <v>525.28465749830127</v>
      </c>
      <c r="I149" s="31">
        <f ca="1">VLOOKUP($A149,$126:$144,I$147+1,FALSE)/VLOOKUP($A149,'Assumption Table'!$B$83:$C$101,2,FALSE)</f>
        <v>738.32101996596646</v>
      </c>
      <c r="J149" s="31">
        <f ca="1">VLOOKUP($A149,$126:$144,J$147+1,FALSE)/VLOOKUP($A149,'Assumption Table'!$B$83:$C$101,2,FALSE)</f>
        <v>931.11078965348793</v>
      </c>
      <c r="K149" s="31">
        <f ca="1">VLOOKUP($A149,$126:$144,K$147+1,FALSE)/VLOOKUP($A149,'Assumption Table'!$B$83:$C$101,2,FALSE)</f>
        <v>920.29477517664918</v>
      </c>
      <c r="L149" s="31">
        <f ca="1">VLOOKUP($A149,$126:$144,L$147+1,FALSE)/VLOOKUP($A149,'Assumption Table'!$B$83:$C$101,2,FALSE)</f>
        <v>1079.2773150086409</v>
      </c>
      <c r="M149" s="31">
        <f ca="1">VLOOKUP($A149,$126:$144,M$147+1,FALSE)/VLOOKUP($A149,'Assumption Table'!$B$83:$C$101,2,FALSE)</f>
        <v>682.91622829159076</v>
      </c>
      <c r="N149" s="31">
        <f ca="1">VLOOKUP($A149,$126:$144,N$147+1,FALSE)/VLOOKUP($A149,'Assumption Table'!$B$83:$C$101,2,FALSE)</f>
        <v>1465.8288464343052</v>
      </c>
      <c r="O149" s="31">
        <f ca="1">VLOOKUP($A149,$126:$144,O$147+1,FALSE)/VLOOKUP($A149,'Assumption Table'!$B$83:$C$101,2,FALSE)</f>
        <v>1438.8261848568281</v>
      </c>
      <c r="P149" s="31">
        <f ca="1">VLOOKUP($A149,$126:$144,P$147+1,FALSE)/VLOOKUP($A149,'Assumption Table'!$B$83:$C$101,2,FALSE)</f>
        <v>1781.9418815711369</v>
      </c>
      <c r="Q149" s="31">
        <f ca="1">VLOOKUP($A149,$126:$144,Q$147+1,FALSE)/VLOOKUP($A149,'Assumption Table'!$B$83:$C$101,2,FALSE)</f>
        <v>1529.9155282452157</v>
      </c>
      <c r="R149" s="31">
        <f ca="1">VLOOKUP($A149,$126:$144,R$147+1,FALSE)/VLOOKUP($A149,'Assumption Table'!$B$83:$C$101,2,FALSE)</f>
        <v>1744.6540990548338</v>
      </c>
      <c r="S149" s="31">
        <f ca="1">VLOOKUP($A149,$126:$144,S$147+1,FALSE)/VLOOKUP($A149,'Assumption Table'!$B$83:$C$101,2,FALSE)</f>
        <v>1430.686449972116</v>
      </c>
      <c r="T149" s="31">
        <f ca="1">VLOOKUP($A149,$126:$144,T$147+1,FALSE)/VLOOKUP($A149,'Assumption Table'!$B$83:$C$101,2,FALSE)</f>
        <v>1501.8638536933349</v>
      </c>
      <c r="U149" s="31">
        <f ca="1">VLOOKUP($A149,$126:$144,U$147+1,FALSE)/VLOOKUP($A149,'Assumption Table'!$B$83:$C$101,2,FALSE)</f>
        <v>1404.1368077612794</v>
      </c>
      <c r="V149" s="31">
        <f ca="1">VLOOKUP($A149,$126:$144,V$147+1,FALSE)/VLOOKUP($A149,'Assumption Table'!$B$83:$C$101,2,FALSE)</f>
        <v>2293.9341912392088</v>
      </c>
      <c r="W149" s="31">
        <f ca="1">VLOOKUP($A149,$126:$144,W$147+1,FALSE)/VLOOKUP($A149,'Assumption Table'!$B$83:$C$101,2,FALSE)</f>
        <v>2563.3219590560789</v>
      </c>
      <c r="X149" s="31">
        <f ca="1">VLOOKUP($A149,$126:$144,X$147+1,FALSE)/VLOOKUP($A149,'Assumption Table'!$B$83:$C$101,2,FALSE)</f>
        <v>2393.5845232607844</v>
      </c>
      <c r="Y149" s="31">
        <f ca="1">VLOOKUP($A149,$126:$144,Y$147+1,FALSE)/VLOOKUP($A149,'Assumption Table'!$B$83:$C$101,2,FALSE)</f>
        <v>1704.2627833673248</v>
      </c>
      <c r="Z149" s="31">
        <f ca="1">VLOOKUP($A149,$126:$144,Z$147+1,FALSE)/VLOOKUP($A149,'Assumption Table'!$B$83:$C$101,2,FALSE)</f>
        <v>3418.1389533995575</v>
      </c>
      <c r="AA149" s="31">
        <f ca="1">VLOOKUP($A149,$126:$144,AA$147+1,FALSE)/VLOOKUP($A149,'Assumption Table'!$B$83:$C$101,2,FALSE)</f>
        <v>2634.8043044375418</v>
      </c>
      <c r="AB149" s="31">
        <f ca="1">VLOOKUP($A149,$126:$144,AB$147+1,FALSE)/VLOOKUP($A149,'Assumption Table'!$B$83:$C$101,2,FALSE)</f>
        <v>2379.7672107724375</v>
      </c>
      <c r="AC149" s="31">
        <f ca="1">VLOOKUP($A149,$126:$144,AC$147+1,FALSE)/VLOOKUP($A149,'Assumption Table'!$B$83:$C$101,2,FALSE)</f>
        <v>3684.8844975705597</v>
      </c>
      <c r="AD149" s="31">
        <f ca="1">VLOOKUP($A149,$126:$144,AD$147+1,FALSE)/VLOOKUP($A149,'Assumption Table'!$B$83:$C$101,2,FALSE)</f>
        <v>2279.342623876978</v>
      </c>
      <c r="AE149" s="31">
        <f ca="1">VLOOKUP($A149,$126:$144,AE$147+1,FALSE)/VLOOKUP($A149,'Assumption Table'!$B$83:$C$101,2,FALSE)</f>
        <v>4048.4348343424576</v>
      </c>
      <c r="AF149" s="31">
        <f ca="1">VLOOKUP($A149,$126:$144,AF$147+1,FALSE)/VLOOKUP($A149,'Assumption Table'!$B$83:$C$101,2,FALSE)</f>
        <v>2589.2987059347292</v>
      </c>
      <c r="AG149" s="31">
        <f ca="1">VLOOKUP($A149,$126:$144,AG$147+1,FALSE)/VLOOKUP($A149,'Assumption Table'!$B$83:$C$101,2,FALSE)</f>
        <v>1743.3522063991727</v>
      </c>
      <c r="AH149" s="31">
        <f ca="1">VLOOKUP($A149,$126:$144,AH$147+1,FALSE)/VLOOKUP($A149,'Assumption Table'!$B$83:$C$101,2,FALSE)</f>
        <v>2074.8344908331683</v>
      </c>
      <c r="AI149" s="31">
        <f ca="1">VLOOKUP($A149,$126:$144,AI$147+1,FALSE)/VLOOKUP($A149,'Assumption Table'!$B$83:$C$101,2,FALSE)</f>
        <v>2978.1074148128687</v>
      </c>
      <c r="AJ149" s="31">
        <f ca="1">VLOOKUP($A149,$126:$144,AJ$147+1,FALSE)/VLOOKUP($A149,'Assumption Table'!$B$83:$C$101,2,FALSE)</f>
        <v>6289.8728825446888</v>
      </c>
      <c r="AK149" s="31">
        <f ca="1">VLOOKUP($A149,$126:$144,AK$147+1,FALSE)/VLOOKUP($A149,'Assumption Table'!$B$83:$C$101,2,FALSE)</f>
        <v>3186.6918834437188</v>
      </c>
      <c r="AL149" s="31">
        <f ca="1">VLOOKUP($A149,$126:$144,AL$147+1,FALSE)/VLOOKUP($A149,'Assumption Table'!$B$83:$C$101,2,FALSE)</f>
        <v>5089.1890784366451</v>
      </c>
      <c r="AM149" s="31">
        <f ca="1">VLOOKUP($A149,$126:$144,AM$147+1,FALSE)/VLOOKUP($A149,'Assumption Table'!$B$83:$C$101,2,FALSE)</f>
        <v>5507.5734361084051</v>
      </c>
      <c r="AN149" s="31">
        <f ca="1">VLOOKUP($A149,$126:$144,AN$147+1,FALSE)/VLOOKUP($A149,'Assumption Table'!$B$83:$C$101,2,FALSE)</f>
        <v>4357.5946761413998</v>
      </c>
      <c r="AO149" s="31">
        <f ca="1">VLOOKUP($A149,$126:$144,AO$147+1,FALSE)/VLOOKUP($A149,'Assumption Table'!$B$83:$C$101,2,FALSE)</f>
        <v>2062.4719773521697</v>
      </c>
      <c r="AP149" s="31">
        <f ca="1">VLOOKUP($A149,$126:$144,AP$147+1,FALSE)/VLOOKUP($A149,'Assumption Table'!$B$83:$C$101,2,FALSE)</f>
        <v>2608.5131725921028</v>
      </c>
      <c r="AQ149" s="31">
        <f ca="1">VLOOKUP($A149,$126:$144,AQ$147+1,FALSE)/VLOOKUP($A149,'Assumption Table'!$B$83:$C$101,2,FALSE)</f>
        <v>3887.7786592603507</v>
      </c>
      <c r="AR149" s="31">
        <f ca="1">VLOOKUP($A149,$126:$144,AR$147+1,FALSE)/VLOOKUP($A149,'Assumption Table'!$B$83:$C$101,2,FALSE)</f>
        <v>2390.375908537213</v>
      </c>
      <c r="AS149" s="31">
        <f ca="1">VLOOKUP($A149,$126:$144,AS$147+1,FALSE)/VLOOKUP($A149,'Assumption Table'!$B$83:$C$101,2,FALSE)</f>
        <v>5512.3066573882843</v>
      </c>
      <c r="AT149" s="31">
        <f ca="1">VLOOKUP($A149,$126:$144,AT$147+1,FALSE)/VLOOKUP($A149,'Assumption Table'!$B$83:$C$101,2,FALSE)</f>
        <v>5617.4294493018506</v>
      </c>
      <c r="AU149" s="31">
        <f ca="1">VLOOKUP($A149,$126:$144,AU$147+1,FALSE)/VLOOKUP($A149,'Assumption Table'!$B$83:$C$101,2,FALSE)</f>
        <v>5072.2634234416528</v>
      </c>
      <c r="AV149" s="31">
        <f ca="1">VLOOKUP($A149,$126:$144,AV$147+1,FALSE)/VLOOKUP($A149,'Assumption Table'!$B$83:$C$101,2,FALSE)</f>
        <v>5578.6306907995213</v>
      </c>
      <c r="AW149" s="31">
        <f ca="1">VLOOKUP($A149,$126:$144,AW$147+1,FALSE)/VLOOKUP($A149,'Assumption Table'!$B$83:$C$101,2,FALSE)</f>
        <v>6166.1542389303213</v>
      </c>
      <c r="AX149" s="31">
        <f ca="1">VLOOKUP($A149,$126:$144,AX$147+1,FALSE)/VLOOKUP($A149,'Assumption Table'!$B$83:$C$101,2,FALSE)</f>
        <v>5503.3530489028553</v>
      </c>
      <c r="AY149" s="31">
        <f ca="1">VLOOKUP($A149,$126:$144,AY$147+1,FALSE)/VLOOKUP($A149,'Assumption Table'!$B$83:$C$101,2,FALSE)</f>
        <v>4379.3491364467272</v>
      </c>
      <c r="AZ149" s="31">
        <f ca="1">VLOOKUP($A149,$126:$144,AZ$147+1,FALSE)/VLOOKUP($A149,'Assumption Table'!$B$83:$C$101,2,FALSE)</f>
        <v>6233.3007335279372</v>
      </c>
      <c r="BA149" s="31">
        <f ca="1">VLOOKUP($A149,$126:$144,BA$147+1,FALSE)/VLOOKUP($A149,'Assumption Table'!$B$83:$C$101,2,FALSE)</f>
        <v>3950.610285624366</v>
      </c>
      <c r="BB149" s="31">
        <f ca="1">VLOOKUP($A149,$126:$144,BB$147+1,FALSE)/VLOOKUP($A149,'Assumption Table'!$B$83:$C$101,2,FALSE)</f>
        <v>5488.3374096697808</v>
      </c>
      <c r="BC149" s="31">
        <f ca="1">VLOOKUP($A149,$126:$144,BC$147+1,FALSE)/VLOOKUP($A149,'Assumption Table'!$B$83:$C$101,2,FALSE)</f>
        <v>7935.9359952522527</v>
      </c>
      <c r="BD149" s="31">
        <f ca="1">VLOOKUP($A149,$126:$144,BD$147+1,FALSE)/VLOOKUP($A149,'Assumption Table'!$B$83:$C$101,2,FALSE)</f>
        <v>7900.6816083201138</v>
      </c>
      <c r="BE149" s="31">
        <f ca="1">VLOOKUP($A149,$126:$144,BE$147+1,FALSE)/VLOOKUP($A149,'Assumption Table'!$B$83:$C$101,2,FALSE)</f>
        <v>10549.225719680087</v>
      </c>
      <c r="BF149" s="31">
        <f ca="1">VLOOKUP($A149,$126:$144,BF$147+1,FALSE)/VLOOKUP($A149,'Assumption Table'!$B$83:$C$101,2,FALSE)</f>
        <v>10485.13375938199</v>
      </c>
      <c r="BG149" s="31">
        <f ca="1">VLOOKUP($A149,$126:$144,BG$147+1,FALSE)/VLOOKUP($A149,'Assumption Table'!$B$83:$C$101,2,FALSE)</f>
        <v>9442.2507415238779</v>
      </c>
      <c r="BH149" s="31">
        <f ca="1">VLOOKUP($A149,$126:$144,BH$147+1,FALSE)/VLOOKUP($A149,'Assumption Table'!$B$83:$C$101,2,FALSE)</f>
        <v>5463.6878472352782</v>
      </c>
      <c r="BI149" s="107">
        <f ca="1">VLOOKUP($A149,$126:$144,BI$147+1,FALSE)/VLOOKUP($A149,'Assumption Table'!$B$83:$C$101,2,FALSE)</f>
        <v>9494.9696773280721</v>
      </c>
      <c r="BJ149" s="10" t="str">
        <f t="shared" si="75"/>
        <v>Servers and Data Centers</v>
      </c>
      <c r="BK149" s="115">
        <f ca="1">SUMIFS($B149:$BI149,$B$4:$BI$4,"&lt;=12")</f>
        <v>6588.2617545889689</v>
      </c>
      <c r="BL149" s="115">
        <f ca="1">SUMIFS($B149:$BI149,$B$4:$BI$4,"&lt;=24",$B$4:$BI$4,"&gt;12")</f>
        <v>21252.957108512448</v>
      </c>
      <c r="BM149" s="115">
        <f ca="1">SUMIFS($B149:$BI149,$B$4:$BI$4,"&lt;=36",$B$4:$BI$4,"&gt;24")</f>
        <v>37307.530008367874</v>
      </c>
      <c r="BN149" s="115">
        <f ca="1">SUMIFS($B149:$BI149,$B$4:$BI$4,"&lt;=48",$B$4:$BI$4,"&gt;36")</f>
        <v>53850.281368289921</v>
      </c>
      <c r="BO149" s="115">
        <f ca="1">SUMIFS($B149:$BI149,$B$4:$BI$4,"&lt;=60",$B$4:$BI$4,"&gt;48")</f>
        <v>86826.835962893339</v>
      </c>
    </row>
    <row r="150" spans="1:67" ht="13.4" customHeight="1">
      <c r="A150" s="98" t="s">
        <v>84</v>
      </c>
      <c r="B150" s="31">
        <f ca="1">VLOOKUP($A150,$126:$144,B$147+1,FALSE)/VLOOKUP($A150,'Assumption Table'!$B$83:$C$101,2,FALSE)</f>
        <v>30.347605182680262</v>
      </c>
      <c r="C150" s="31">
        <f ca="1">VLOOKUP($A150,$126:$144,C$147+1,FALSE)/VLOOKUP($A150,'Assumption Table'!$B$83:$C$101,2,FALSE)</f>
        <v>58.138298965458816</v>
      </c>
      <c r="D150" s="31">
        <f ca="1">VLOOKUP($A150,$126:$144,D$147+1,FALSE)/VLOOKUP($A150,'Assumption Table'!$B$83:$C$101,2,FALSE)</f>
        <v>113.55311006929847</v>
      </c>
      <c r="E150" s="31">
        <f ca="1">VLOOKUP($A150,$126:$144,E$147+1,FALSE)/VLOOKUP($A150,'Assumption Table'!$B$83:$C$101,2,FALSE)</f>
        <v>78.514051821451801</v>
      </c>
      <c r="F150" s="31">
        <f ca="1">VLOOKUP($A150,$126:$144,F$147+1,FALSE)/VLOOKUP($A150,'Assumption Table'!$B$83:$C$101,2,FALSE)</f>
        <v>106.61092146777068</v>
      </c>
      <c r="G150" s="31">
        <f ca="1">VLOOKUP($A150,$126:$144,G$147+1,FALSE)/VLOOKUP($A150,'Assumption Table'!$B$83:$C$101,2,FALSE)</f>
        <v>183.18833549145043</v>
      </c>
      <c r="H150" s="31">
        <f ca="1">VLOOKUP($A150,$126:$144,H$147+1,FALSE)/VLOOKUP($A150,'Assumption Table'!$B$83:$C$101,2,FALSE)</f>
        <v>175.09488583276709</v>
      </c>
      <c r="I150" s="31">
        <f ca="1">VLOOKUP($A150,$126:$144,I$147+1,FALSE)/VLOOKUP($A150,'Assumption Table'!$B$83:$C$101,2,FALSE)</f>
        <v>246.10700665532218</v>
      </c>
      <c r="J150" s="31">
        <f ca="1">VLOOKUP($A150,$126:$144,J$147+1,FALSE)/VLOOKUP($A150,'Assumption Table'!$B$83:$C$101,2,FALSE)</f>
        <v>310.37026321782929</v>
      </c>
      <c r="K150" s="31">
        <f ca="1">VLOOKUP($A150,$126:$144,K$147+1,FALSE)/VLOOKUP($A150,'Assumption Table'!$B$83:$C$101,2,FALSE)</f>
        <v>306.76492505888308</v>
      </c>
      <c r="L150" s="31">
        <f ca="1">VLOOKUP($A150,$126:$144,L$147+1,FALSE)/VLOOKUP($A150,'Assumption Table'!$B$83:$C$101,2,FALSE)</f>
        <v>359.75910500288035</v>
      </c>
      <c r="M150" s="31">
        <f ca="1">VLOOKUP($A150,$126:$144,M$147+1,FALSE)/VLOOKUP($A150,'Assumption Table'!$B$83:$C$101,2,FALSE)</f>
        <v>227.6387427638636</v>
      </c>
      <c r="N150" s="31">
        <f ca="1">VLOOKUP($A150,$126:$144,N$147+1,FALSE)/VLOOKUP($A150,'Assumption Table'!$B$83:$C$101,2,FALSE)</f>
        <v>488.60961547810177</v>
      </c>
      <c r="O150" s="31">
        <f ca="1">VLOOKUP($A150,$126:$144,O$147+1,FALSE)/VLOOKUP($A150,'Assumption Table'!$B$83:$C$101,2,FALSE)</f>
        <v>479.6087282856094</v>
      </c>
      <c r="P150" s="31">
        <f ca="1">VLOOKUP($A150,$126:$144,P$147+1,FALSE)/VLOOKUP($A150,'Assumption Table'!$B$83:$C$101,2,FALSE)</f>
        <v>593.98062719037887</v>
      </c>
      <c r="Q150" s="31">
        <f ca="1">VLOOKUP($A150,$126:$144,Q$147+1,FALSE)/VLOOKUP($A150,'Assumption Table'!$B$83:$C$101,2,FALSE)</f>
        <v>509.97184274840521</v>
      </c>
      <c r="R150" s="31">
        <f ca="1">VLOOKUP($A150,$126:$144,R$147+1,FALSE)/VLOOKUP($A150,'Assumption Table'!$B$83:$C$101,2,FALSE)</f>
        <v>581.55136635161136</v>
      </c>
      <c r="S150" s="31">
        <f ca="1">VLOOKUP($A150,$126:$144,S$147+1,FALSE)/VLOOKUP($A150,'Assumption Table'!$B$83:$C$101,2,FALSE)</f>
        <v>476.89548332403871</v>
      </c>
      <c r="T150" s="31">
        <f ca="1">VLOOKUP($A150,$126:$144,T$147+1,FALSE)/VLOOKUP($A150,'Assumption Table'!$B$83:$C$101,2,FALSE)</f>
        <v>500.62128456444498</v>
      </c>
      <c r="U150" s="31">
        <f ca="1">VLOOKUP($A150,$126:$144,U$147+1,FALSE)/VLOOKUP($A150,'Assumption Table'!$B$83:$C$101,2,FALSE)</f>
        <v>468.04560258709319</v>
      </c>
      <c r="V150" s="31">
        <f ca="1">VLOOKUP($A150,$126:$144,V$147+1,FALSE)/VLOOKUP($A150,'Assumption Table'!$B$83:$C$101,2,FALSE)</f>
        <v>764.64473041306951</v>
      </c>
      <c r="W150" s="31">
        <f ca="1">VLOOKUP($A150,$126:$144,W$147+1,FALSE)/VLOOKUP($A150,'Assumption Table'!$B$83:$C$101,2,FALSE)</f>
        <v>854.44065301869307</v>
      </c>
      <c r="X150" s="31">
        <f ca="1">VLOOKUP($A150,$126:$144,X$147+1,FALSE)/VLOOKUP($A150,'Assumption Table'!$B$83:$C$101,2,FALSE)</f>
        <v>797.86150775359488</v>
      </c>
      <c r="Y150" s="31">
        <f ca="1">VLOOKUP($A150,$126:$144,Y$147+1,FALSE)/VLOOKUP($A150,'Assumption Table'!$B$83:$C$101,2,FALSE)</f>
        <v>568.08759445577505</v>
      </c>
      <c r="Z150" s="31">
        <f ca="1">VLOOKUP($A150,$126:$144,Z$147+1,FALSE)/VLOOKUP($A150,'Assumption Table'!$B$83:$C$101,2,FALSE)</f>
        <v>1139.3796511331859</v>
      </c>
      <c r="AA150" s="31">
        <f ca="1">VLOOKUP($A150,$126:$144,AA$147+1,FALSE)/VLOOKUP($A150,'Assumption Table'!$B$83:$C$101,2,FALSE)</f>
        <v>878.26810147918036</v>
      </c>
      <c r="AB150" s="31">
        <f ca="1">VLOOKUP($A150,$126:$144,AB$147+1,FALSE)/VLOOKUP($A150,'Assumption Table'!$B$83:$C$101,2,FALSE)</f>
        <v>793.25573692414582</v>
      </c>
      <c r="AC150" s="31">
        <f ca="1">VLOOKUP($A150,$126:$144,AC$147+1,FALSE)/VLOOKUP($A150,'Assumption Table'!$B$83:$C$101,2,FALSE)</f>
        <v>1228.29483252352</v>
      </c>
      <c r="AD150" s="31">
        <f ca="1">VLOOKUP($A150,$126:$144,AD$147+1,FALSE)/VLOOKUP($A150,'Assumption Table'!$B$83:$C$101,2,FALSE)</f>
        <v>759.78087462565964</v>
      </c>
      <c r="AE150" s="31">
        <f ca="1">VLOOKUP($A150,$126:$144,AE$147+1,FALSE)/VLOOKUP($A150,'Assumption Table'!$B$83:$C$101,2,FALSE)</f>
        <v>1349.4782781141525</v>
      </c>
      <c r="AF150" s="31">
        <f ca="1">VLOOKUP($A150,$126:$144,AF$147+1,FALSE)/VLOOKUP($A150,'Assumption Table'!$B$83:$C$101,2,FALSE)</f>
        <v>863.09956864490982</v>
      </c>
      <c r="AG150" s="31">
        <f ca="1">VLOOKUP($A150,$126:$144,AG$147+1,FALSE)/VLOOKUP($A150,'Assumption Table'!$B$83:$C$101,2,FALSE)</f>
        <v>581.11740213305757</v>
      </c>
      <c r="AH150" s="31">
        <f ca="1">VLOOKUP($A150,$126:$144,AH$147+1,FALSE)/VLOOKUP($A150,'Assumption Table'!$B$83:$C$101,2,FALSE)</f>
        <v>691.6114969443895</v>
      </c>
      <c r="AI150" s="31">
        <f ca="1">VLOOKUP($A150,$126:$144,AI$147+1,FALSE)/VLOOKUP($A150,'Assumption Table'!$B$83:$C$101,2,FALSE)</f>
        <v>992.7024716042896</v>
      </c>
      <c r="AJ150" s="31">
        <f ca="1">VLOOKUP($A150,$126:$144,AJ$147+1,FALSE)/VLOOKUP($A150,'Assumption Table'!$B$83:$C$101,2,FALSE)</f>
        <v>2096.6242941815631</v>
      </c>
      <c r="AK150" s="31">
        <f ca="1">VLOOKUP($A150,$126:$144,AK$147+1,FALSE)/VLOOKUP($A150,'Assumption Table'!$B$83:$C$101,2,FALSE)</f>
        <v>1062.2306278145727</v>
      </c>
      <c r="AL150" s="31">
        <f ca="1">VLOOKUP($A150,$126:$144,AL$147+1,FALSE)/VLOOKUP($A150,'Assumption Table'!$B$83:$C$101,2,FALSE)</f>
        <v>1696.3963594788818</v>
      </c>
      <c r="AM150" s="31">
        <f ca="1">VLOOKUP($A150,$126:$144,AM$147+1,FALSE)/VLOOKUP($A150,'Assumption Table'!$B$83:$C$101,2,FALSE)</f>
        <v>1835.8578120361351</v>
      </c>
      <c r="AN150" s="31">
        <f ca="1">VLOOKUP($A150,$126:$144,AN$147+1,FALSE)/VLOOKUP($A150,'Assumption Table'!$B$83:$C$101,2,FALSE)</f>
        <v>1452.5315587138002</v>
      </c>
      <c r="AO150" s="31">
        <f ca="1">VLOOKUP($A150,$126:$144,AO$147+1,FALSE)/VLOOKUP($A150,'Assumption Table'!$B$83:$C$101,2,FALSE)</f>
        <v>687.4906591173899</v>
      </c>
      <c r="AP150" s="31">
        <f ca="1">VLOOKUP($A150,$126:$144,AP$147+1,FALSE)/VLOOKUP($A150,'Assumption Table'!$B$83:$C$101,2,FALSE)</f>
        <v>869.50439086403435</v>
      </c>
      <c r="AQ150" s="31">
        <f ca="1">VLOOKUP($A150,$126:$144,AQ$147+1,FALSE)/VLOOKUP($A150,'Assumption Table'!$B$83:$C$101,2,FALSE)</f>
        <v>1295.9262197534501</v>
      </c>
      <c r="AR150" s="31">
        <f ca="1">VLOOKUP($A150,$126:$144,AR$147+1,FALSE)/VLOOKUP($A150,'Assumption Table'!$B$83:$C$101,2,FALSE)</f>
        <v>796.79196951240419</v>
      </c>
      <c r="AS150" s="31">
        <f ca="1">VLOOKUP($A150,$126:$144,AS$147+1,FALSE)/VLOOKUP($A150,'Assumption Table'!$B$83:$C$101,2,FALSE)</f>
        <v>1837.4355524627613</v>
      </c>
      <c r="AT150" s="31">
        <f ca="1">VLOOKUP($A150,$126:$144,AT$147+1,FALSE)/VLOOKUP($A150,'Assumption Table'!$B$83:$C$101,2,FALSE)</f>
        <v>1872.4764831006169</v>
      </c>
      <c r="AU150" s="31">
        <f ca="1">VLOOKUP($A150,$126:$144,AU$147+1,FALSE)/VLOOKUP($A150,'Assumption Table'!$B$83:$C$101,2,FALSE)</f>
        <v>1690.7544744805512</v>
      </c>
      <c r="AV150" s="31">
        <f ca="1">VLOOKUP($A150,$126:$144,AV$147+1,FALSE)/VLOOKUP($A150,'Assumption Table'!$B$83:$C$101,2,FALSE)</f>
        <v>1859.5435635998406</v>
      </c>
      <c r="AW150" s="31">
        <f ca="1">VLOOKUP($A150,$126:$144,AW$147+1,FALSE)/VLOOKUP($A150,'Assumption Table'!$B$83:$C$101,2,FALSE)</f>
        <v>2055.3847463101069</v>
      </c>
      <c r="AX150" s="31">
        <f ca="1">VLOOKUP($A150,$126:$144,AX$147+1,FALSE)/VLOOKUP($A150,'Assumption Table'!$B$83:$C$101,2,FALSE)</f>
        <v>1834.4510163009518</v>
      </c>
      <c r="AY150" s="31">
        <f ca="1">VLOOKUP($A150,$126:$144,AY$147+1,FALSE)/VLOOKUP($A150,'Assumption Table'!$B$83:$C$101,2,FALSE)</f>
        <v>1459.7830454822426</v>
      </c>
      <c r="AZ150" s="31">
        <f ca="1">VLOOKUP($A150,$126:$144,AZ$147+1,FALSE)/VLOOKUP($A150,'Assumption Table'!$B$83:$C$101,2,FALSE)</f>
        <v>2077.7669111759792</v>
      </c>
      <c r="BA150" s="31">
        <f ca="1">VLOOKUP($A150,$126:$144,BA$147+1,FALSE)/VLOOKUP($A150,'Assumption Table'!$B$83:$C$101,2,FALSE)</f>
        <v>1316.8700952081222</v>
      </c>
      <c r="BB150" s="31">
        <f ca="1">VLOOKUP($A150,$126:$144,BB$147+1,FALSE)/VLOOKUP($A150,'Assumption Table'!$B$83:$C$101,2,FALSE)</f>
        <v>1829.4458032232601</v>
      </c>
      <c r="BC150" s="31">
        <f ca="1">VLOOKUP($A150,$126:$144,BC$147+1,FALSE)/VLOOKUP($A150,'Assumption Table'!$B$83:$C$101,2,FALSE)</f>
        <v>2645.3119984174177</v>
      </c>
      <c r="BD150" s="31">
        <f ca="1">VLOOKUP($A150,$126:$144,BD$147+1,FALSE)/VLOOKUP($A150,'Assumption Table'!$B$83:$C$101,2,FALSE)</f>
        <v>2633.5605361067051</v>
      </c>
      <c r="BE150" s="31">
        <f ca="1">VLOOKUP($A150,$126:$144,BE$147+1,FALSE)/VLOOKUP($A150,'Assumption Table'!$B$83:$C$101,2,FALSE)</f>
        <v>3516.4085732266963</v>
      </c>
      <c r="BF150" s="31">
        <f ca="1">VLOOKUP($A150,$126:$144,BF$147+1,FALSE)/VLOOKUP($A150,'Assumption Table'!$B$83:$C$101,2,FALSE)</f>
        <v>3495.044586460664</v>
      </c>
      <c r="BG150" s="31">
        <f ca="1">VLOOKUP($A150,$126:$144,BG$147+1,FALSE)/VLOOKUP($A150,'Assumption Table'!$B$83:$C$101,2,FALSE)</f>
        <v>3147.4169138412931</v>
      </c>
      <c r="BH150" s="31">
        <f ca="1">VLOOKUP($A150,$126:$144,BH$147+1,FALSE)/VLOOKUP($A150,'Assumption Table'!$B$83:$C$101,2,FALSE)</f>
        <v>1821.2292824117592</v>
      </c>
      <c r="BI150" s="107">
        <f ca="1">VLOOKUP($A150,$126:$144,BI$147+1,FALSE)/VLOOKUP($A150,'Assumption Table'!$B$83:$C$101,2,FALSE)</f>
        <v>3164.9898924426907</v>
      </c>
      <c r="BJ150" s="10" t="str">
        <f t="shared" si="75"/>
        <v>Networking Equipment</v>
      </c>
      <c r="BK150" s="115">
        <f ca="1">SUMIFS($B150:$BI150,$B$4:$BI$4,"&lt;=12")</f>
        <v>2196.0872515296564</v>
      </c>
      <c r="BL150" s="115">
        <f ca="1">SUMIFS($B150:$BI150,$B$4:$BI$4,"&lt;=24",$B$4:$BI$4,"&gt;12")</f>
        <v>7084.3190361708166</v>
      </c>
      <c r="BM150" s="115">
        <f ca="1">SUMIFS($B150:$BI150,$B$4:$BI$4,"&lt;=36",$B$4:$BI$4,"&gt;24")</f>
        <v>12435.843336122627</v>
      </c>
      <c r="BN150" s="115">
        <f ca="1">SUMIFS($B150:$BI150,$B$4:$BI$4,"&lt;=48",$B$4:$BI$4,"&gt;36")</f>
        <v>17950.093789429971</v>
      </c>
      <c r="BO150" s="115">
        <f ca="1">SUMIFS($B150:$BI150,$B$4:$BI$4,"&lt;=60",$B$4:$BI$4,"&gt;48")</f>
        <v>28942.278654297777</v>
      </c>
    </row>
    <row r="151" spans="1:67" ht="13.4" customHeight="1">
      <c r="A151" s="5" t="s">
        <v>85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13"/>
      <c r="BJ151" s="8" t="str">
        <f t="shared" si="75"/>
        <v>Software and Licenses</v>
      </c>
      <c r="BK151" s="121"/>
      <c r="BL151" s="121"/>
      <c r="BM151" s="121"/>
      <c r="BN151" s="121"/>
      <c r="BO151" s="121"/>
    </row>
    <row r="152" spans="1:67" ht="13.4" customHeight="1">
      <c r="A152" s="98" t="s">
        <v>86</v>
      </c>
      <c r="B152" s="31">
        <f ca="1">VLOOKUP($A152,$126:$144,B$147+1,FALSE)/VLOOKUP($A152,'Assumption Table'!$B$83:$C$101,2,FALSE)</f>
        <v>30.347605182680262</v>
      </c>
      <c r="C152" s="31">
        <f ca="1">VLOOKUP($A152,$126:$144,C$147+1,FALSE)/VLOOKUP($A152,'Assumption Table'!$B$83:$C$101,2,FALSE)</f>
        <v>58.391195675314485</v>
      </c>
      <c r="D152" s="31">
        <f ca="1">VLOOKUP($A152,$126:$144,D$147+1,FALSE)/VLOOKUP($A152,'Assumption Table'!$B$83:$C$101,2,FALSE)</f>
        <v>114.03548842142848</v>
      </c>
      <c r="E152" s="31">
        <f ca="1">VLOOKUP($A152,$126:$144,E$147+1,FALSE)/VLOOKUP($A152,'Assumption Table'!$B$83:$C$101,2,FALSE)</f>
        <v>79.456307919094868</v>
      </c>
      <c r="F152" s="31">
        <f ca="1">VLOOKUP($A152,$126:$144,F$147+1,FALSE)/VLOOKUP($A152,'Assumption Table'!$B$83:$C$101,2,FALSE)</f>
        <v>107.25735309880243</v>
      </c>
      <c r="G152" s="31">
        <f ca="1">VLOOKUP($A152,$126:$144,G$147+1,FALSE)/VLOOKUP($A152,'Assumption Table'!$B$83:$C$101,2,FALSE)</f>
        <v>184.07137290675661</v>
      </c>
      <c r="H152" s="31">
        <f ca="1">VLOOKUP($A152,$126:$144,H$147+1,FALSE)/VLOOKUP($A152,'Assumption Table'!$B$83:$C$101,2,FALSE)</f>
        <v>176.61409665006829</v>
      </c>
      <c r="I152" s="31">
        <f ca="1">VLOOKUP($A152,$126:$144,I$147+1,FALSE)/VLOOKUP($A152,'Assumption Table'!$B$83:$C$101,2,FALSE)</f>
        <v>247.55347061378441</v>
      </c>
      <c r="J152" s="31">
        <f ca="1">VLOOKUP($A152,$126:$144,J$147+1,FALSE)/VLOOKUP($A152,'Assumption Table'!$B$83:$C$101,2,FALSE)</f>
        <v>312.40910107363646</v>
      </c>
      <c r="K152" s="31">
        <f ca="1">VLOOKUP($A152,$126:$144,K$147+1,FALSE)/VLOOKUP($A152,'Assumption Table'!$B$83:$C$101,2,FALSE)</f>
        <v>309.33435360356657</v>
      </c>
      <c r="L152" s="31">
        <f ca="1">VLOOKUP($A152,$126:$144,L$147+1,FALSE)/VLOOKUP($A152,'Assumption Table'!$B$83:$C$101,2,FALSE)</f>
        <v>362.294067473832</v>
      </c>
      <c r="M152" s="31">
        <f ca="1">VLOOKUP($A152,$126:$144,M$147+1,FALSE)/VLOOKUP($A152,'Assumption Table'!$B$83:$C$101,2,FALSE)</f>
        <v>230.61561061829633</v>
      </c>
      <c r="N152" s="31">
        <f ca="1">VLOOKUP($A152,$126:$144,N$147+1,FALSE)/VLOOKUP($A152,'Assumption Table'!$B$83:$C$101,2,FALSE)</f>
        <v>490.48179776901367</v>
      </c>
      <c r="O152" s="31">
        <f ca="1">VLOOKUP($A152,$126:$144,O$147+1,FALSE)/VLOOKUP($A152,'Assumption Table'!$B$83:$C$101,2,FALSE)</f>
        <v>483.6648735621693</v>
      </c>
      <c r="P152" s="31">
        <f ca="1">VLOOKUP($A152,$126:$144,P$147+1,FALSE)/VLOOKUP($A152,'Assumption Table'!$B$83:$C$101,2,FALSE)</f>
        <v>597.94356538212094</v>
      </c>
      <c r="Q152" s="31">
        <f ca="1">VLOOKUP($A152,$126:$144,Q$147+1,FALSE)/VLOOKUP($A152,'Assumption Table'!$B$83:$C$101,2,FALSE)</f>
        <v>514.88865682339394</v>
      </c>
      <c r="R152" s="31">
        <f ca="1">VLOOKUP($A152,$126:$144,R$147+1,FALSE)/VLOOKUP($A152,'Assumption Table'!$B$83:$C$101,2,FALSE)</f>
        <v>585.760158257223</v>
      </c>
      <c r="S152" s="31">
        <f ca="1">VLOOKUP($A152,$126:$144,S$147+1,FALSE)/VLOOKUP($A152,'Assumption Table'!$B$83:$C$101,2,FALSE)</f>
        <v>481.706671444422</v>
      </c>
      <c r="T152" s="31">
        <f ca="1">VLOOKUP($A152,$126:$144,T$147+1,FALSE)/VLOOKUP($A152,'Assumption Table'!$B$83:$C$101,2,FALSE)</f>
        <v>504.55532035780874</v>
      </c>
      <c r="U152" s="31">
        <f ca="1">VLOOKUP($A152,$126:$144,U$147+1,FALSE)/VLOOKUP($A152,'Assumption Table'!$B$83:$C$101,2,FALSE)</f>
        <v>472.18466299351883</v>
      </c>
      <c r="V152" s="31">
        <f ca="1">VLOOKUP($A152,$126:$144,V$147+1,FALSE)/VLOOKUP($A152,'Assumption Table'!$B$83:$C$101,2,FALSE)</f>
        <v>768.51061826457521</v>
      </c>
      <c r="W152" s="31">
        <f ca="1">VLOOKUP($A152,$126:$144,W$147+1,FALSE)/VLOOKUP($A152,'Assumption Table'!$B$83:$C$101,2,FALSE)</f>
        <v>860.78047670670617</v>
      </c>
      <c r="X152" s="31">
        <f ca="1">VLOOKUP($A152,$126:$144,X$147+1,FALSE)/VLOOKUP($A152,'Assumption Table'!$B$83:$C$101,2,FALSE)</f>
        <v>804.9290146646839</v>
      </c>
      <c r="Y152" s="31">
        <f ca="1">VLOOKUP($A152,$126:$144,Y$147+1,FALSE)/VLOOKUP($A152,'Assumption Table'!$B$83:$C$101,2,FALSE)</f>
        <v>574.67754446279594</v>
      </c>
      <c r="Z152" s="31">
        <f ca="1">VLOOKUP($A152,$126:$144,Z$147+1,FALSE)/VLOOKUP($A152,'Assumption Table'!$B$83:$C$101,2,FALSE)</f>
        <v>1144.058798170259</v>
      </c>
      <c r="AA152" s="31">
        <f ca="1">VLOOKUP($A152,$126:$144,AA$147+1,FALSE)/VLOOKUP($A152,'Assumption Table'!$B$83:$C$101,2,FALSE)</f>
        <v>887.72393901331475</v>
      </c>
      <c r="AB152" s="31">
        <f ca="1">VLOOKUP($A152,$126:$144,AB$147+1,FALSE)/VLOOKUP($A152,'Assumption Table'!$B$83:$C$101,2,FALSE)</f>
        <v>800.49583912368792</v>
      </c>
      <c r="AC152" s="31">
        <f ca="1">VLOOKUP($A152,$126:$144,AC$147+1,FALSE)/VLOOKUP($A152,'Assumption Table'!$B$83:$C$101,2,FALSE)</f>
        <v>1234.8449628128915</v>
      </c>
      <c r="AD152" s="31">
        <f ca="1">VLOOKUP($A152,$126:$144,AD$147+1,FALSE)/VLOOKUP($A152,'Assumption Table'!$B$83:$C$101,2,FALSE)</f>
        <v>769.96208047761093</v>
      </c>
      <c r="AE152" s="31">
        <f ca="1">VLOOKUP($A152,$126:$144,AE$147+1,FALSE)/VLOOKUP($A152,'Assumption Table'!$B$83:$C$101,2,FALSE)</f>
        <v>1355.7249420206001</v>
      </c>
      <c r="AF152" s="31">
        <f ca="1">VLOOKUP($A152,$126:$144,AF$147+1,FALSE)/VLOOKUP($A152,'Assumption Table'!$B$83:$C$101,2,FALSE)</f>
        <v>874.29316542997401</v>
      </c>
      <c r="AG152" s="31">
        <f ca="1">VLOOKUP($A152,$126:$144,AG$147+1,FALSE)/VLOOKUP($A152,'Assumption Table'!$B$83:$C$101,2,FALSE)</f>
        <v>588.21661856522292</v>
      </c>
      <c r="AH152" s="31">
        <f ca="1">VLOOKUP($A152,$126:$144,AH$147+1,FALSE)/VLOOKUP($A152,'Assumption Table'!$B$83:$C$101,2,FALSE)</f>
        <v>696.39498182523027</v>
      </c>
      <c r="AI152" s="31">
        <f ca="1">VLOOKUP($A152,$126:$144,AI$147+1,FALSE)/VLOOKUP($A152,'Assumption Table'!$B$83:$C$101,2,FALSE)</f>
        <v>998.4260383714859</v>
      </c>
      <c r="AJ152" s="31">
        <f ca="1">VLOOKUP($A152,$126:$144,AJ$147+1,FALSE)/VLOOKUP($A152,'Assumption Table'!$B$83:$C$101,2,FALSE)</f>
        <v>2104.849118388539</v>
      </c>
      <c r="AK152" s="31">
        <f ca="1">VLOOKUP($A152,$126:$144,AK$147+1,FALSE)/VLOOKUP($A152,'Assumption Table'!$B$83:$C$101,2,FALSE)</f>
        <v>1079.6339567310276</v>
      </c>
      <c r="AL152" s="31">
        <f ca="1">VLOOKUP($A152,$126:$144,AL$147+1,FALSE)/VLOOKUP($A152,'Assumption Table'!$B$83:$C$101,2,FALSE)</f>
        <v>1705.1032536363662</v>
      </c>
      <c r="AM152" s="31">
        <f ca="1">VLOOKUP($A152,$126:$144,AM$147+1,FALSE)/VLOOKUP($A152,'Assumption Table'!$B$83:$C$101,2,FALSE)</f>
        <v>1849.9218909138135</v>
      </c>
      <c r="AN152" s="31">
        <f ca="1">VLOOKUP($A152,$126:$144,AN$147+1,FALSE)/VLOOKUP($A152,'Assumption Table'!$B$83:$C$101,2,FALSE)</f>
        <v>1467.7131731567874</v>
      </c>
      <c r="AO152" s="31">
        <f ca="1">VLOOKUP($A152,$126:$144,AO$147+1,FALSE)/VLOOKUP($A152,'Assumption Table'!$B$83:$C$101,2,FALSE)</f>
        <v>699.46857531964667</v>
      </c>
      <c r="AP152" s="31">
        <f ca="1">VLOOKUP($A152,$126:$144,AP$147+1,FALSE)/VLOOKUP($A152,'Assumption Table'!$B$83:$C$101,2,FALSE)</f>
        <v>875.13366372166047</v>
      </c>
      <c r="AQ152" s="31">
        <f ca="1">VLOOKUP($A152,$126:$144,AQ$147+1,FALSE)/VLOOKUP($A152,'Assumption Table'!$B$83:$C$101,2,FALSE)</f>
        <v>1303.1251790701701</v>
      </c>
      <c r="AR152" s="31">
        <f ca="1">VLOOKUP($A152,$126:$144,AR$147+1,FALSE)/VLOOKUP($A152,'Assumption Table'!$B$83:$C$101,2,FALSE)</f>
        <v>807.53136334937699</v>
      </c>
      <c r="AS152" s="31">
        <f ca="1">VLOOKUP($A152,$126:$144,AS$147+1,FALSE)/VLOOKUP($A152,'Assumption Table'!$B$83:$C$101,2,FALSE)</f>
        <v>1843.9859905933897</v>
      </c>
      <c r="AT152" s="31">
        <f ca="1">VLOOKUP($A152,$126:$144,AT$147+1,FALSE)/VLOOKUP($A152,'Assumption Table'!$B$83:$C$101,2,FALSE)</f>
        <v>1887.7338590533845</v>
      </c>
      <c r="AU152" s="31">
        <f ca="1">VLOOKUP($A152,$126:$144,AU$147+1,FALSE)/VLOOKUP($A152,'Assumption Table'!$B$83:$C$101,2,FALSE)</f>
        <v>1706.2313003734498</v>
      </c>
      <c r="AV152" s="31">
        <f ca="1">VLOOKUP($A152,$126:$144,AV$147+1,FALSE)/VLOOKUP($A152,'Assumption Table'!$B$83:$C$101,2,FALSE)</f>
        <v>1873.5042106714043</v>
      </c>
      <c r="AW152" s="31">
        <f ca="1">VLOOKUP($A152,$126:$144,AW$147+1,FALSE)/VLOOKUP($A152,'Assumption Table'!$B$83:$C$101,2,FALSE)</f>
        <v>2070.7646039478427</v>
      </c>
      <c r="AX152" s="31">
        <f ca="1">VLOOKUP($A152,$126:$144,AX$147+1,FALSE)/VLOOKUP($A152,'Assumption Table'!$B$83:$C$101,2,FALSE)</f>
        <v>1851.4510570398884</v>
      </c>
      <c r="AY152" s="31">
        <f ca="1">VLOOKUP($A152,$126:$144,AY$147+1,FALSE)/VLOOKUP($A152,'Assumption Table'!$B$83:$C$101,2,FALSE)</f>
        <v>1474.9284702785926</v>
      </c>
      <c r="AZ152" s="31">
        <f ca="1">VLOOKUP($A152,$126:$144,AZ$147+1,FALSE)/VLOOKUP($A152,'Assumption Table'!$B$83:$C$101,2,FALSE)</f>
        <v>2089.8055580150281</v>
      </c>
      <c r="BA152" s="31">
        <f ca="1">VLOOKUP($A152,$126:$144,BA$147+1,FALSE)/VLOOKUP($A152,'Assumption Table'!$B$83:$C$101,2,FALSE)</f>
        <v>1334.0844974109298</v>
      </c>
      <c r="BB152" s="31">
        <f ca="1">VLOOKUP($A152,$126:$144,BB$147+1,FALSE)/VLOOKUP($A152,'Assumption Table'!$B$83:$C$101,2,FALSE)</f>
        <v>1840.2762673316379</v>
      </c>
      <c r="BC152" s="31">
        <f ca="1">VLOOKUP($A152,$126:$144,BC$147+1,FALSE)/VLOOKUP($A152,'Assumption Table'!$B$83:$C$101,2,FALSE)</f>
        <v>2660.4671262433753</v>
      </c>
      <c r="BD152" s="31">
        <f ca="1">VLOOKUP($A152,$126:$144,BD$147+1,FALSE)/VLOOKUP($A152,'Assumption Table'!$B$83:$C$101,2,FALSE)</f>
        <v>2655.4785100283002</v>
      </c>
      <c r="BE152" s="31">
        <f ca="1">VLOOKUP($A152,$126:$144,BE$147+1,FALSE)/VLOOKUP($A152,'Assumption Table'!$B$83:$C$101,2,FALSE)</f>
        <v>3538.1722612449057</v>
      </c>
      <c r="BF152" s="31">
        <f ca="1">VLOOKUP($A152,$126:$144,BF$147+1,FALSE)/VLOOKUP($A152,'Assumption Table'!$B$83:$C$101,2,FALSE)</f>
        <v>3524.1666271707345</v>
      </c>
      <c r="BG152" s="31">
        <f ca="1">VLOOKUP($A152,$126:$144,BG$147+1,FALSE)/VLOOKUP($A152,'Assumption Table'!$B$83:$C$101,2,FALSE)</f>
        <v>3176.2996017225478</v>
      </c>
      <c r="BH152" s="31">
        <f ca="1">VLOOKUP($A152,$126:$144,BH$147+1,FALSE)/VLOOKUP($A152,'Assumption Table'!$B$83:$C$101,2,FALSE)</f>
        <v>1847.2170676280932</v>
      </c>
      <c r="BI152" s="107">
        <f ca="1">VLOOKUP($A152,$126:$144,BI$147+1,FALSE)/VLOOKUP($A152,'Assumption Table'!$B$83:$C$101,2,FALSE)</f>
        <v>3179.9502382526525</v>
      </c>
      <c r="BJ152" s="10" t="str">
        <f t="shared" si="75"/>
        <v>Enterprise Software</v>
      </c>
      <c r="BK152" s="115">
        <f ca="1">SUMIFS($B152:$BI152,$B$4:$BI$4,"&lt;=12")</f>
        <v>2212.380023237261</v>
      </c>
      <c r="BL152" s="115">
        <f ca="1">SUMIFS($B152:$BI152,$B$4:$BI$4,"&lt;=24",$B$4:$BI$4,"&gt;12")</f>
        <v>7140.0833606884307</v>
      </c>
      <c r="BM152" s="115">
        <f ca="1">SUMIFS($B152:$BI152,$B$4:$BI$4,"&lt;=36",$B$4:$BI$4,"&gt;24")</f>
        <v>12534.624440929845</v>
      </c>
      <c r="BN152" s="115">
        <f ca="1">SUMIFS($B152:$BI152,$B$4:$BI$4,"&lt;=48",$B$4:$BI$4,"&gt;36")</f>
        <v>18090.217063807293</v>
      </c>
      <c r="BO152" s="115">
        <f ca="1">SUMIFS($B152:$BI152,$B$4:$BI$4,"&lt;=60",$B$4:$BI$4,"&gt;48")</f>
        <v>29172.297282366686</v>
      </c>
    </row>
    <row r="153" spans="1:67" ht="13.4" customHeight="1">
      <c r="A153" s="98" t="s">
        <v>87</v>
      </c>
      <c r="B153" s="31">
        <f ca="1">VLOOKUP($A153,$126:$144,B$147+1,FALSE)/VLOOKUP($A153,'Assumption Table'!$B$83:$C$101,2,FALSE)</f>
        <v>30.347605182680262</v>
      </c>
      <c r="C153" s="31">
        <f ca="1">VLOOKUP($A153,$126:$144,C$147+1,FALSE)/VLOOKUP($A153,'Assumption Table'!$B$83:$C$101,2,FALSE)</f>
        <v>58.138298965458816</v>
      </c>
      <c r="D153" s="31">
        <f ca="1">VLOOKUP($A153,$126:$144,D$147+1,FALSE)/VLOOKUP($A153,'Assumption Table'!$B$83:$C$101,2,FALSE)</f>
        <v>113.55311006929847</v>
      </c>
      <c r="E153" s="31">
        <f ca="1">VLOOKUP($A153,$126:$144,E$147+1,FALSE)/VLOOKUP($A153,'Assumption Table'!$B$83:$C$101,2,FALSE)</f>
        <v>78.514051821451801</v>
      </c>
      <c r="F153" s="31">
        <f ca="1">VLOOKUP($A153,$126:$144,F$147+1,FALSE)/VLOOKUP($A153,'Assumption Table'!$B$83:$C$101,2,FALSE)</f>
        <v>106.61092146777068</v>
      </c>
      <c r="G153" s="31">
        <f ca="1">VLOOKUP($A153,$126:$144,G$147+1,FALSE)/VLOOKUP($A153,'Assumption Table'!$B$83:$C$101,2,FALSE)</f>
        <v>183.18833549145043</v>
      </c>
      <c r="H153" s="31">
        <f ca="1">VLOOKUP($A153,$126:$144,H$147+1,FALSE)/VLOOKUP($A153,'Assumption Table'!$B$83:$C$101,2,FALSE)</f>
        <v>175.09488583276709</v>
      </c>
      <c r="I153" s="31">
        <f ca="1">VLOOKUP($A153,$126:$144,I$147+1,FALSE)/VLOOKUP($A153,'Assumption Table'!$B$83:$C$101,2,FALSE)</f>
        <v>246.10700665532218</v>
      </c>
      <c r="J153" s="31">
        <f ca="1">VLOOKUP($A153,$126:$144,J$147+1,FALSE)/VLOOKUP($A153,'Assumption Table'!$B$83:$C$101,2,FALSE)</f>
        <v>310.37026321782929</v>
      </c>
      <c r="K153" s="31">
        <f ca="1">VLOOKUP($A153,$126:$144,K$147+1,FALSE)/VLOOKUP($A153,'Assumption Table'!$B$83:$C$101,2,FALSE)</f>
        <v>306.76492505888308</v>
      </c>
      <c r="L153" s="31">
        <f ca="1">VLOOKUP($A153,$126:$144,L$147+1,FALSE)/VLOOKUP($A153,'Assumption Table'!$B$83:$C$101,2,FALSE)</f>
        <v>359.75910500288035</v>
      </c>
      <c r="M153" s="31">
        <f ca="1">VLOOKUP($A153,$126:$144,M$147+1,FALSE)/VLOOKUP($A153,'Assumption Table'!$B$83:$C$101,2,FALSE)</f>
        <v>227.6387427638636</v>
      </c>
      <c r="N153" s="31">
        <f ca="1">VLOOKUP($A153,$126:$144,N$147+1,FALSE)/VLOOKUP($A153,'Assumption Table'!$B$83:$C$101,2,FALSE)</f>
        <v>488.60961547810177</v>
      </c>
      <c r="O153" s="31">
        <f ca="1">VLOOKUP($A153,$126:$144,O$147+1,FALSE)/VLOOKUP($A153,'Assumption Table'!$B$83:$C$101,2,FALSE)</f>
        <v>479.6087282856094</v>
      </c>
      <c r="P153" s="31">
        <f ca="1">VLOOKUP($A153,$126:$144,P$147+1,FALSE)/VLOOKUP($A153,'Assumption Table'!$B$83:$C$101,2,FALSE)</f>
        <v>593.98062719037887</v>
      </c>
      <c r="Q153" s="31">
        <f ca="1">VLOOKUP($A153,$126:$144,Q$147+1,FALSE)/VLOOKUP($A153,'Assumption Table'!$B$83:$C$101,2,FALSE)</f>
        <v>509.97184274840521</v>
      </c>
      <c r="R153" s="31">
        <f ca="1">VLOOKUP($A153,$126:$144,R$147+1,FALSE)/VLOOKUP($A153,'Assumption Table'!$B$83:$C$101,2,FALSE)</f>
        <v>581.55136635161136</v>
      </c>
      <c r="S153" s="31">
        <f ca="1">VLOOKUP($A153,$126:$144,S$147+1,FALSE)/VLOOKUP($A153,'Assumption Table'!$B$83:$C$101,2,FALSE)</f>
        <v>476.89548332403871</v>
      </c>
      <c r="T153" s="31">
        <f ca="1">VLOOKUP($A153,$126:$144,T$147+1,FALSE)/VLOOKUP($A153,'Assumption Table'!$B$83:$C$101,2,FALSE)</f>
        <v>500.62128456444498</v>
      </c>
      <c r="U153" s="31">
        <f ca="1">VLOOKUP($A153,$126:$144,U$147+1,FALSE)/VLOOKUP($A153,'Assumption Table'!$B$83:$C$101,2,FALSE)</f>
        <v>468.04560258709319</v>
      </c>
      <c r="V153" s="31">
        <f ca="1">VLOOKUP($A153,$126:$144,V$147+1,FALSE)/VLOOKUP($A153,'Assumption Table'!$B$83:$C$101,2,FALSE)</f>
        <v>764.64473041306951</v>
      </c>
      <c r="W153" s="31">
        <f ca="1">VLOOKUP($A153,$126:$144,W$147+1,FALSE)/VLOOKUP($A153,'Assumption Table'!$B$83:$C$101,2,FALSE)</f>
        <v>854.44065301869307</v>
      </c>
      <c r="X153" s="31">
        <f ca="1">VLOOKUP($A153,$126:$144,X$147+1,FALSE)/VLOOKUP($A153,'Assumption Table'!$B$83:$C$101,2,FALSE)</f>
        <v>797.86150775359488</v>
      </c>
      <c r="Y153" s="31">
        <f ca="1">VLOOKUP($A153,$126:$144,Y$147+1,FALSE)/VLOOKUP($A153,'Assumption Table'!$B$83:$C$101,2,FALSE)</f>
        <v>568.08759445577505</v>
      </c>
      <c r="Z153" s="31">
        <f ca="1">VLOOKUP($A153,$126:$144,Z$147+1,FALSE)/VLOOKUP($A153,'Assumption Table'!$B$83:$C$101,2,FALSE)</f>
        <v>1139.3796511331859</v>
      </c>
      <c r="AA153" s="31">
        <f ca="1">VLOOKUP($A153,$126:$144,AA$147+1,FALSE)/VLOOKUP($A153,'Assumption Table'!$B$83:$C$101,2,FALSE)</f>
        <v>878.26810147918036</v>
      </c>
      <c r="AB153" s="31">
        <f ca="1">VLOOKUP($A153,$126:$144,AB$147+1,FALSE)/VLOOKUP($A153,'Assumption Table'!$B$83:$C$101,2,FALSE)</f>
        <v>793.25573692414582</v>
      </c>
      <c r="AC153" s="31">
        <f ca="1">VLOOKUP($A153,$126:$144,AC$147+1,FALSE)/VLOOKUP($A153,'Assumption Table'!$B$83:$C$101,2,FALSE)</f>
        <v>1228.29483252352</v>
      </c>
      <c r="AD153" s="31">
        <f ca="1">VLOOKUP($A153,$126:$144,AD$147+1,FALSE)/VLOOKUP($A153,'Assumption Table'!$B$83:$C$101,2,FALSE)</f>
        <v>759.78087462565964</v>
      </c>
      <c r="AE153" s="31">
        <f ca="1">VLOOKUP($A153,$126:$144,AE$147+1,FALSE)/VLOOKUP($A153,'Assumption Table'!$B$83:$C$101,2,FALSE)</f>
        <v>1349.4782781141525</v>
      </c>
      <c r="AF153" s="31">
        <f ca="1">VLOOKUP($A153,$126:$144,AF$147+1,FALSE)/VLOOKUP($A153,'Assumption Table'!$B$83:$C$101,2,FALSE)</f>
        <v>863.09956864490982</v>
      </c>
      <c r="AG153" s="31">
        <f ca="1">VLOOKUP($A153,$126:$144,AG$147+1,FALSE)/VLOOKUP($A153,'Assumption Table'!$B$83:$C$101,2,FALSE)</f>
        <v>581.11740213305757</v>
      </c>
      <c r="AH153" s="31">
        <f ca="1">VLOOKUP($A153,$126:$144,AH$147+1,FALSE)/VLOOKUP($A153,'Assumption Table'!$B$83:$C$101,2,FALSE)</f>
        <v>691.6114969443895</v>
      </c>
      <c r="AI153" s="31">
        <f ca="1">VLOOKUP($A153,$126:$144,AI$147+1,FALSE)/VLOOKUP($A153,'Assumption Table'!$B$83:$C$101,2,FALSE)</f>
        <v>992.7024716042896</v>
      </c>
      <c r="AJ153" s="31">
        <f ca="1">VLOOKUP($A153,$126:$144,AJ$147+1,FALSE)/VLOOKUP($A153,'Assumption Table'!$B$83:$C$101,2,FALSE)</f>
        <v>2096.6242941815631</v>
      </c>
      <c r="AK153" s="31">
        <f ca="1">VLOOKUP($A153,$126:$144,AK$147+1,FALSE)/VLOOKUP($A153,'Assumption Table'!$B$83:$C$101,2,FALSE)</f>
        <v>1062.2306278145727</v>
      </c>
      <c r="AL153" s="31">
        <f ca="1">VLOOKUP($A153,$126:$144,AL$147+1,FALSE)/VLOOKUP($A153,'Assumption Table'!$B$83:$C$101,2,FALSE)</f>
        <v>1696.3963594788818</v>
      </c>
      <c r="AM153" s="31">
        <f ca="1">VLOOKUP($A153,$126:$144,AM$147+1,FALSE)/VLOOKUP($A153,'Assumption Table'!$B$83:$C$101,2,FALSE)</f>
        <v>1835.8578120361351</v>
      </c>
      <c r="AN153" s="31">
        <f ca="1">VLOOKUP($A153,$126:$144,AN$147+1,FALSE)/VLOOKUP($A153,'Assumption Table'!$B$83:$C$101,2,FALSE)</f>
        <v>1452.5315587138002</v>
      </c>
      <c r="AO153" s="31">
        <f ca="1">VLOOKUP($A153,$126:$144,AO$147+1,FALSE)/VLOOKUP($A153,'Assumption Table'!$B$83:$C$101,2,FALSE)</f>
        <v>687.4906591173899</v>
      </c>
      <c r="AP153" s="31">
        <f ca="1">VLOOKUP($A153,$126:$144,AP$147+1,FALSE)/VLOOKUP($A153,'Assumption Table'!$B$83:$C$101,2,FALSE)</f>
        <v>869.50439086403435</v>
      </c>
      <c r="AQ153" s="31">
        <f ca="1">VLOOKUP($A153,$126:$144,AQ$147+1,FALSE)/VLOOKUP($A153,'Assumption Table'!$B$83:$C$101,2,FALSE)</f>
        <v>1295.9262197534501</v>
      </c>
      <c r="AR153" s="31">
        <f ca="1">VLOOKUP($A153,$126:$144,AR$147+1,FALSE)/VLOOKUP($A153,'Assumption Table'!$B$83:$C$101,2,FALSE)</f>
        <v>796.79196951240419</v>
      </c>
      <c r="AS153" s="31">
        <f ca="1">VLOOKUP($A153,$126:$144,AS$147+1,FALSE)/VLOOKUP($A153,'Assumption Table'!$B$83:$C$101,2,FALSE)</f>
        <v>1837.4355524627613</v>
      </c>
      <c r="AT153" s="31">
        <f ca="1">VLOOKUP($A153,$126:$144,AT$147+1,FALSE)/VLOOKUP($A153,'Assumption Table'!$B$83:$C$101,2,FALSE)</f>
        <v>1872.4764831006169</v>
      </c>
      <c r="AU153" s="31">
        <f ca="1">VLOOKUP($A153,$126:$144,AU$147+1,FALSE)/VLOOKUP($A153,'Assumption Table'!$B$83:$C$101,2,FALSE)</f>
        <v>1690.7544744805512</v>
      </c>
      <c r="AV153" s="31">
        <f ca="1">VLOOKUP($A153,$126:$144,AV$147+1,FALSE)/VLOOKUP($A153,'Assumption Table'!$B$83:$C$101,2,FALSE)</f>
        <v>1859.5435635998406</v>
      </c>
      <c r="AW153" s="31">
        <f ca="1">VLOOKUP($A153,$126:$144,AW$147+1,FALSE)/VLOOKUP($A153,'Assumption Table'!$B$83:$C$101,2,FALSE)</f>
        <v>2055.3847463101069</v>
      </c>
      <c r="AX153" s="31">
        <f ca="1">VLOOKUP($A153,$126:$144,AX$147+1,FALSE)/VLOOKUP($A153,'Assumption Table'!$B$83:$C$101,2,FALSE)</f>
        <v>1834.4510163009518</v>
      </c>
      <c r="AY153" s="31">
        <f ca="1">VLOOKUP($A153,$126:$144,AY$147+1,FALSE)/VLOOKUP($A153,'Assumption Table'!$B$83:$C$101,2,FALSE)</f>
        <v>1459.7830454822426</v>
      </c>
      <c r="AZ153" s="31">
        <f ca="1">VLOOKUP($A153,$126:$144,AZ$147+1,FALSE)/VLOOKUP($A153,'Assumption Table'!$B$83:$C$101,2,FALSE)</f>
        <v>2077.7669111759792</v>
      </c>
      <c r="BA153" s="31">
        <f ca="1">VLOOKUP($A153,$126:$144,BA$147+1,FALSE)/VLOOKUP($A153,'Assumption Table'!$B$83:$C$101,2,FALSE)</f>
        <v>1316.8700952081222</v>
      </c>
      <c r="BB153" s="31">
        <f ca="1">VLOOKUP($A153,$126:$144,BB$147+1,FALSE)/VLOOKUP($A153,'Assumption Table'!$B$83:$C$101,2,FALSE)</f>
        <v>1829.4458032232601</v>
      </c>
      <c r="BC153" s="31">
        <f ca="1">VLOOKUP($A153,$126:$144,BC$147+1,FALSE)/VLOOKUP($A153,'Assumption Table'!$B$83:$C$101,2,FALSE)</f>
        <v>2645.3119984174177</v>
      </c>
      <c r="BD153" s="31">
        <f ca="1">VLOOKUP($A153,$126:$144,BD$147+1,FALSE)/VLOOKUP($A153,'Assumption Table'!$B$83:$C$101,2,FALSE)</f>
        <v>2633.5605361067051</v>
      </c>
      <c r="BE153" s="31">
        <f ca="1">VLOOKUP($A153,$126:$144,BE$147+1,FALSE)/VLOOKUP($A153,'Assumption Table'!$B$83:$C$101,2,FALSE)</f>
        <v>3516.4085732266963</v>
      </c>
      <c r="BF153" s="31">
        <f ca="1">VLOOKUP($A153,$126:$144,BF$147+1,FALSE)/VLOOKUP($A153,'Assumption Table'!$B$83:$C$101,2,FALSE)</f>
        <v>3495.044586460664</v>
      </c>
      <c r="BG153" s="31">
        <f ca="1">VLOOKUP($A153,$126:$144,BG$147+1,FALSE)/VLOOKUP($A153,'Assumption Table'!$B$83:$C$101,2,FALSE)</f>
        <v>3147.4169138412931</v>
      </c>
      <c r="BH153" s="31">
        <f ca="1">VLOOKUP($A153,$126:$144,BH$147+1,FALSE)/VLOOKUP($A153,'Assumption Table'!$B$83:$C$101,2,FALSE)</f>
        <v>1821.2292824117592</v>
      </c>
      <c r="BI153" s="107">
        <f ca="1">VLOOKUP($A153,$126:$144,BI$147+1,FALSE)/VLOOKUP($A153,'Assumption Table'!$B$83:$C$101,2,FALSE)</f>
        <v>3164.9898924426907</v>
      </c>
      <c r="BJ153" s="10" t="str">
        <f t="shared" si="75"/>
        <v>Software Licenses</v>
      </c>
      <c r="BK153" s="115">
        <f ca="1">SUMIFS($B153:$BI153,$B$4:$BI$4,"&lt;=12")</f>
        <v>2196.0872515296564</v>
      </c>
      <c r="BL153" s="115">
        <f ca="1">SUMIFS($B153:$BI153,$B$4:$BI$4,"&lt;=24",$B$4:$BI$4,"&gt;12")</f>
        <v>7084.3190361708166</v>
      </c>
      <c r="BM153" s="115">
        <f ca="1">SUMIFS($B153:$BI153,$B$4:$BI$4,"&lt;=36",$B$4:$BI$4,"&gt;24")</f>
        <v>12435.843336122627</v>
      </c>
      <c r="BN153" s="115">
        <f ca="1">SUMIFS($B153:$BI153,$B$4:$BI$4,"&lt;=48",$B$4:$BI$4,"&gt;36")</f>
        <v>17950.093789429971</v>
      </c>
      <c r="BO153" s="115">
        <f ca="1">SUMIFS($B153:$BI153,$B$4:$BI$4,"&lt;=60",$B$4:$BI$4,"&gt;48")</f>
        <v>28942.278654297777</v>
      </c>
    </row>
    <row r="154" spans="1:67" ht="13.4" customHeight="1">
      <c r="A154" s="5" t="s">
        <v>88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13"/>
      <c r="BJ154" s="8" t="str">
        <f t="shared" si="75"/>
        <v>Hardware</v>
      </c>
      <c r="BK154" s="121"/>
      <c r="BL154" s="121"/>
      <c r="BM154" s="121"/>
      <c r="BN154" s="121"/>
      <c r="BO154" s="121"/>
    </row>
    <row r="155" spans="1:67" ht="13.4" customHeight="1">
      <c r="A155" s="98" t="s">
        <v>89</v>
      </c>
      <c r="B155" s="31">
        <f ca="1">VLOOKUP($A155,$126:$144,B$147+1,FALSE)/VLOOKUP($A155,'Assumption Table'!$B$83:$C$101,2,FALSE)</f>
        <v>30.347605182680262</v>
      </c>
      <c r="C155" s="31">
        <f ca="1">VLOOKUP($A155,$126:$144,C$147+1,FALSE)/VLOOKUP($A155,'Assumption Table'!$B$83:$C$101,2,FALSE)</f>
        <v>58.138298965458816</v>
      </c>
      <c r="D155" s="31">
        <f ca="1">VLOOKUP($A155,$126:$144,D$147+1,FALSE)/VLOOKUP($A155,'Assumption Table'!$B$83:$C$101,2,FALSE)</f>
        <v>113.55311006929847</v>
      </c>
      <c r="E155" s="31">
        <f ca="1">VLOOKUP($A155,$126:$144,E$147+1,FALSE)/VLOOKUP($A155,'Assumption Table'!$B$83:$C$101,2,FALSE)</f>
        <v>78.514051821451801</v>
      </c>
      <c r="F155" s="31">
        <f ca="1">VLOOKUP($A155,$126:$144,F$147+1,FALSE)/VLOOKUP($A155,'Assumption Table'!$B$83:$C$101,2,FALSE)</f>
        <v>106.61092146777068</v>
      </c>
      <c r="G155" s="31">
        <f ca="1">VLOOKUP($A155,$126:$144,G$147+1,FALSE)/VLOOKUP($A155,'Assumption Table'!$B$83:$C$101,2,FALSE)</f>
        <v>183.18833549145043</v>
      </c>
      <c r="H155" s="31">
        <f ca="1">VLOOKUP($A155,$126:$144,H$147+1,FALSE)/VLOOKUP($A155,'Assumption Table'!$B$83:$C$101,2,FALSE)</f>
        <v>175.09488583276709</v>
      </c>
      <c r="I155" s="31">
        <f ca="1">VLOOKUP($A155,$126:$144,I$147+1,FALSE)/VLOOKUP($A155,'Assumption Table'!$B$83:$C$101,2,FALSE)</f>
        <v>246.10700665532218</v>
      </c>
      <c r="J155" s="31">
        <f ca="1">VLOOKUP($A155,$126:$144,J$147+1,FALSE)/VLOOKUP($A155,'Assumption Table'!$B$83:$C$101,2,FALSE)</f>
        <v>310.37026321782929</v>
      </c>
      <c r="K155" s="31">
        <f ca="1">VLOOKUP($A155,$126:$144,K$147+1,FALSE)/VLOOKUP($A155,'Assumption Table'!$B$83:$C$101,2,FALSE)</f>
        <v>306.76492505888308</v>
      </c>
      <c r="L155" s="31">
        <f ca="1">VLOOKUP($A155,$126:$144,L$147+1,FALSE)/VLOOKUP($A155,'Assumption Table'!$B$83:$C$101,2,FALSE)</f>
        <v>359.75910500288035</v>
      </c>
      <c r="M155" s="31">
        <f ca="1">VLOOKUP($A155,$126:$144,M$147+1,FALSE)/VLOOKUP($A155,'Assumption Table'!$B$83:$C$101,2,FALSE)</f>
        <v>227.6387427638636</v>
      </c>
      <c r="N155" s="31">
        <f ca="1">VLOOKUP($A155,$126:$144,N$147+1,FALSE)/VLOOKUP($A155,'Assumption Table'!$B$83:$C$101,2,FALSE)</f>
        <v>488.60961547810177</v>
      </c>
      <c r="O155" s="31">
        <f ca="1">VLOOKUP($A155,$126:$144,O$147+1,FALSE)/VLOOKUP($A155,'Assumption Table'!$B$83:$C$101,2,FALSE)</f>
        <v>479.6087282856094</v>
      </c>
      <c r="P155" s="31">
        <f ca="1">VLOOKUP($A155,$126:$144,P$147+1,FALSE)/VLOOKUP($A155,'Assumption Table'!$B$83:$C$101,2,FALSE)</f>
        <v>593.98062719037887</v>
      </c>
      <c r="Q155" s="31">
        <f ca="1">VLOOKUP($A155,$126:$144,Q$147+1,FALSE)/VLOOKUP($A155,'Assumption Table'!$B$83:$C$101,2,FALSE)</f>
        <v>509.97184274840521</v>
      </c>
      <c r="R155" s="31">
        <f ca="1">VLOOKUP($A155,$126:$144,R$147+1,FALSE)/VLOOKUP($A155,'Assumption Table'!$B$83:$C$101,2,FALSE)</f>
        <v>581.55136635161136</v>
      </c>
      <c r="S155" s="31">
        <f ca="1">VLOOKUP($A155,$126:$144,S$147+1,FALSE)/VLOOKUP($A155,'Assumption Table'!$B$83:$C$101,2,FALSE)</f>
        <v>476.89548332403871</v>
      </c>
      <c r="T155" s="31">
        <f ca="1">VLOOKUP($A155,$126:$144,T$147+1,FALSE)/VLOOKUP($A155,'Assumption Table'!$B$83:$C$101,2,FALSE)</f>
        <v>500.62128456444498</v>
      </c>
      <c r="U155" s="31">
        <f ca="1">VLOOKUP($A155,$126:$144,U$147+1,FALSE)/VLOOKUP($A155,'Assumption Table'!$B$83:$C$101,2,FALSE)</f>
        <v>468.04560258709319</v>
      </c>
      <c r="V155" s="31">
        <f ca="1">VLOOKUP($A155,$126:$144,V$147+1,FALSE)/VLOOKUP($A155,'Assumption Table'!$B$83:$C$101,2,FALSE)</f>
        <v>764.64473041306951</v>
      </c>
      <c r="W155" s="31">
        <f ca="1">VLOOKUP($A155,$126:$144,W$147+1,FALSE)/VLOOKUP($A155,'Assumption Table'!$B$83:$C$101,2,FALSE)</f>
        <v>854.44065301869307</v>
      </c>
      <c r="X155" s="31">
        <f ca="1">VLOOKUP($A155,$126:$144,X$147+1,FALSE)/VLOOKUP($A155,'Assumption Table'!$B$83:$C$101,2,FALSE)</f>
        <v>797.86150775359488</v>
      </c>
      <c r="Y155" s="31">
        <f ca="1">VLOOKUP($A155,$126:$144,Y$147+1,FALSE)/VLOOKUP($A155,'Assumption Table'!$B$83:$C$101,2,FALSE)</f>
        <v>568.08759445577505</v>
      </c>
      <c r="Z155" s="31">
        <f ca="1">VLOOKUP($A155,$126:$144,Z$147+1,FALSE)/VLOOKUP($A155,'Assumption Table'!$B$83:$C$101,2,FALSE)</f>
        <v>1139.3796511331859</v>
      </c>
      <c r="AA155" s="31">
        <f ca="1">VLOOKUP($A155,$126:$144,AA$147+1,FALSE)/VLOOKUP($A155,'Assumption Table'!$B$83:$C$101,2,FALSE)</f>
        <v>878.26810147918036</v>
      </c>
      <c r="AB155" s="31">
        <f ca="1">VLOOKUP($A155,$126:$144,AB$147+1,FALSE)/VLOOKUP($A155,'Assumption Table'!$B$83:$C$101,2,FALSE)</f>
        <v>793.25573692414582</v>
      </c>
      <c r="AC155" s="31">
        <f ca="1">VLOOKUP($A155,$126:$144,AC$147+1,FALSE)/VLOOKUP($A155,'Assumption Table'!$B$83:$C$101,2,FALSE)</f>
        <v>1228.29483252352</v>
      </c>
      <c r="AD155" s="31">
        <f ca="1">VLOOKUP($A155,$126:$144,AD$147+1,FALSE)/VLOOKUP($A155,'Assumption Table'!$B$83:$C$101,2,FALSE)</f>
        <v>759.78087462565964</v>
      </c>
      <c r="AE155" s="31">
        <f ca="1">VLOOKUP($A155,$126:$144,AE$147+1,FALSE)/VLOOKUP($A155,'Assumption Table'!$B$83:$C$101,2,FALSE)</f>
        <v>1349.4782781141525</v>
      </c>
      <c r="AF155" s="31">
        <f ca="1">VLOOKUP($A155,$126:$144,AF$147+1,FALSE)/VLOOKUP($A155,'Assumption Table'!$B$83:$C$101,2,FALSE)</f>
        <v>863.09956864490982</v>
      </c>
      <c r="AG155" s="31">
        <f ca="1">VLOOKUP($A155,$126:$144,AG$147+1,FALSE)/VLOOKUP($A155,'Assumption Table'!$B$83:$C$101,2,FALSE)</f>
        <v>581.11740213305757</v>
      </c>
      <c r="AH155" s="31">
        <f ca="1">VLOOKUP($A155,$126:$144,AH$147+1,FALSE)/VLOOKUP($A155,'Assumption Table'!$B$83:$C$101,2,FALSE)</f>
        <v>691.6114969443895</v>
      </c>
      <c r="AI155" s="31">
        <f ca="1">VLOOKUP($A155,$126:$144,AI$147+1,FALSE)/VLOOKUP($A155,'Assumption Table'!$B$83:$C$101,2,FALSE)</f>
        <v>992.7024716042896</v>
      </c>
      <c r="AJ155" s="31">
        <f ca="1">VLOOKUP($A155,$126:$144,AJ$147+1,FALSE)/VLOOKUP($A155,'Assumption Table'!$B$83:$C$101,2,FALSE)</f>
        <v>2096.6242941815631</v>
      </c>
      <c r="AK155" s="31">
        <f ca="1">VLOOKUP($A155,$126:$144,AK$147+1,FALSE)/VLOOKUP($A155,'Assumption Table'!$B$83:$C$101,2,FALSE)</f>
        <v>1062.2306278145727</v>
      </c>
      <c r="AL155" s="31">
        <f ca="1">VLOOKUP($A155,$126:$144,AL$147+1,FALSE)/VLOOKUP($A155,'Assumption Table'!$B$83:$C$101,2,FALSE)</f>
        <v>1696.3963594788818</v>
      </c>
      <c r="AM155" s="31">
        <f ca="1">VLOOKUP($A155,$126:$144,AM$147+1,FALSE)/VLOOKUP($A155,'Assumption Table'!$B$83:$C$101,2,FALSE)</f>
        <v>1835.8578120361351</v>
      </c>
      <c r="AN155" s="31">
        <f ca="1">VLOOKUP($A155,$126:$144,AN$147+1,FALSE)/VLOOKUP($A155,'Assumption Table'!$B$83:$C$101,2,FALSE)</f>
        <v>1452.5315587138002</v>
      </c>
      <c r="AO155" s="31">
        <f ca="1">VLOOKUP($A155,$126:$144,AO$147+1,FALSE)/VLOOKUP($A155,'Assumption Table'!$B$83:$C$101,2,FALSE)</f>
        <v>687.4906591173899</v>
      </c>
      <c r="AP155" s="31">
        <f ca="1">VLOOKUP($A155,$126:$144,AP$147+1,FALSE)/VLOOKUP($A155,'Assumption Table'!$B$83:$C$101,2,FALSE)</f>
        <v>869.50439086403435</v>
      </c>
      <c r="AQ155" s="31">
        <f ca="1">VLOOKUP($A155,$126:$144,AQ$147+1,FALSE)/VLOOKUP($A155,'Assumption Table'!$B$83:$C$101,2,FALSE)</f>
        <v>1295.9262197534501</v>
      </c>
      <c r="AR155" s="31">
        <f ca="1">VLOOKUP($A155,$126:$144,AR$147+1,FALSE)/VLOOKUP($A155,'Assumption Table'!$B$83:$C$101,2,FALSE)</f>
        <v>796.79196951240419</v>
      </c>
      <c r="AS155" s="31">
        <f ca="1">VLOOKUP($A155,$126:$144,AS$147+1,FALSE)/VLOOKUP($A155,'Assumption Table'!$B$83:$C$101,2,FALSE)</f>
        <v>1837.4355524627613</v>
      </c>
      <c r="AT155" s="31">
        <f ca="1">VLOOKUP($A155,$126:$144,AT$147+1,FALSE)/VLOOKUP($A155,'Assumption Table'!$B$83:$C$101,2,FALSE)</f>
        <v>1872.4764831006169</v>
      </c>
      <c r="AU155" s="31">
        <f ca="1">VLOOKUP($A155,$126:$144,AU$147+1,FALSE)/VLOOKUP($A155,'Assumption Table'!$B$83:$C$101,2,FALSE)</f>
        <v>1690.7544744805512</v>
      </c>
      <c r="AV155" s="31">
        <f ca="1">VLOOKUP($A155,$126:$144,AV$147+1,FALSE)/VLOOKUP($A155,'Assumption Table'!$B$83:$C$101,2,FALSE)</f>
        <v>1859.5435635998406</v>
      </c>
      <c r="AW155" s="31">
        <f ca="1">VLOOKUP($A155,$126:$144,AW$147+1,FALSE)/VLOOKUP($A155,'Assumption Table'!$B$83:$C$101,2,FALSE)</f>
        <v>2055.3847463101069</v>
      </c>
      <c r="AX155" s="31">
        <f ca="1">VLOOKUP($A155,$126:$144,AX$147+1,FALSE)/VLOOKUP($A155,'Assumption Table'!$B$83:$C$101,2,FALSE)</f>
        <v>1834.4510163009518</v>
      </c>
      <c r="AY155" s="31">
        <f ca="1">VLOOKUP($A155,$126:$144,AY$147+1,FALSE)/VLOOKUP($A155,'Assumption Table'!$B$83:$C$101,2,FALSE)</f>
        <v>1459.7830454822426</v>
      </c>
      <c r="AZ155" s="31">
        <f ca="1">VLOOKUP($A155,$126:$144,AZ$147+1,FALSE)/VLOOKUP($A155,'Assumption Table'!$B$83:$C$101,2,FALSE)</f>
        <v>2077.7669111759792</v>
      </c>
      <c r="BA155" s="31">
        <f ca="1">VLOOKUP($A155,$126:$144,BA$147+1,FALSE)/VLOOKUP($A155,'Assumption Table'!$B$83:$C$101,2,FALSE)</f>
        <v>1316.8700952081222</v>
      </c>
      <c r="BB155" s="31">
        <f ca="1">VLOOKUP($A155,$126:$144,BB$147+1,FALSE)/VLOOKUP($A155,'Assumption Table'!$B$83:$C$101,2,FALSE)</f>
        <v>1829.4458032232601</v>
      </c>
      <c r="BC155" s="31">
        <f ca="1">VLOOKUP($A155,$126:$144,BC$147+1,FALSE)/VLOOKUP($A155,'Assumption Table'!$B$83:$C$101,2,FALSE)</f>
        <v>2645.3119984174177</v>
      </c>
      <c r="BD155" s="31">
        <f ca="1">VLOOKUP($A155,$126:$144,BD$147+1,FALSE)/VLOOKUP($A155,'Assumption Table'!$B$83:$C$101,2,FALSE)</f>
        <v>2633.5605361067051</v>
      </c>
      <c r="BE155" s="31">
        <f ca="1">VLOOKUP($A155,$126:$144,BE$147+1,FALSE)/VLOOKUP($A155,'Assumption Table'!$B$83:$C$101,2,FALSE)</f>
        <v>3516.4085732266963</v>
      </c>
      <c r="BF155" s="31">
        <f ca="1">VLOOKUP($A155,$126:$144,BF$147+1,FALSE)/VLOOKUP($A155,'Assumption Table'!$B$83:$C$101,2,FALSE)</f>
        <v>3495.044586460664</v>
      </c>
      <c r="BG155" s="31">
        <f ca="1">VLOOKUP($A155,$126:$144,BG$147+1,FALSE)/VLOOKUP($A155,'Assumption Table'!$B$83:$C$101,2,FALSE)</f>
        <v>3147.4169138412931</v>
      </c>
      <c r="BH155" s="31">
        <f ca="1">VLOOKUP($A155,$126:$144,BH$147+1,FALSE)/VLOOKUP($A155,'Assumption Table'!$B$83:$C$101,2,FALSE)</f>
        <v>1821.2292824117592</v>
      </c>
      <c r="BI155" s="107">
        <f ca="1">VLOOKUP($A155,$126:$144,BI$147+1,FALSE)/VLOOKUP($A155,'Assumption Table'!$B$83:$C$101,2,FALSE)</f>
        <v>3164.9898924426907</v>
      </c>
      <c r="BJ155" s="10" t="str">
        <f t="shared" si="75"/>
        <v>Computers and Workstations</v>
      </c>
      <c r="BK155" s="115">
        <f ca="1">SUMIFS($B155:$BI155,$B$4:$BI$4,"&lt;=12")</f>
        <v>2196.0872515296564</v>
      </c>
      <c r="BL155" s="115">
        <f ca="1">SUMIFS($B155:$BI155,$B$4:$BI$4,"&lt;=24",$B$4:$BI$4,"&gt;12")</f>
        <v>7084.3190361708166</v>
      </c>
      <c r="BM155" s="115">
        <f ca="1">SUMIFS($B155:$BI155,$B$4:$BI$4,"&lt;=36",$B$4:$BI$4,"&gt;24")</f>
        <v>12435.843336122627</v>
      </c>
      <c r="BN155" s="115">
        <f ca="1">SUMIFS($B155:$BI155,$B$4:$BI$4,"&lt;=48",$B$4:$BI$4,"&gt;36")</f>
        <v>17950.093789429971</v>
      </c>
      <c r="BO155" s="115">
        <f ca="1">SUMIFS($B155:$BI155,$B$4:$BI$4,"&lt;=60",$B$4:$BI$4,"&gt;48")</f>
        <v>28942.278654297777</v>
      </c>
    </row>
    <row r="156" spans="1:67" ht="13.4" customHeight="1">
      <c r="A156" s="98" t="s">
        <v>90</v>
      </c>
      <c r="B156" s="31">
        <f ca="1">VLOOKUP($A156,$126:$144,B$147+1,FALSE)/VLOOKUP($A156,'Assumption Table'!$B$83:$C$101,2,FALSE)</f>
        <v>60.695210365360523</v>
      </c>
      <c r="C156" s="31">
        <f ca="1">VLOOKUP($A156,$126:$144,C$147+1,FALSE)/VLOOKUP($A156,'Assumption Table'!$B$83:$C$101,2,FALSE)</f>
        <v>116.27659793091763</v>
      </c>
      <c r="D156" s="31">
        <f ca="1">VLOOKUP($A156,$126:$144,D$147+1,FALSE)/VLOOKUP($A156,'Assumption Table'!$B$83:$C$101,2,FALSE)</f>
        <v>227.10622013859694</v>
      </c>
      <c r="E156" s="31">
        <f ca="1">VLOOKUP($A156,$126:$144,E$147+1,FALSE)/VLOOKUP($A156,'Assumption Table'!$B$83:$C$101,2,FALSE)</f>
        <v>157.0281036429036</v>
      </c>
      <c r="F156" s="31">
        <f ca="1">VLOOKUP($A156,$126:$144,F$147+1,FALSE)/VLOOKUP($A156,'Assumption Table'!$B$83:$C$101,2,FALSE)</f>
        <v>213.22184293554136</v>
      </c>
      <c r="G156" s="31">
        <f ca="1">VLOOKUP($A156,$126:$144,G$147+1,FALSE)/VLOOKUP($A156,'Assumption Table'!$B$83:$C$101,2,FALSE)</f>
        <v>366.37667098290086</v>
      </c>
      <c r="H156" s="31">
        <f ca="1">VLOOKUP($A156,$126:$144,H$147+1,FALSE)/VLOOKUP($A156,'Assumption Table'!$B$83:$C$101,2,FALSE)</f>
        <v>350.18977166553418</v>
      </c>
      <c r="I156" s="31">
        <f ca="1">VLOOKUP($A156,$126:$144,I$147+1,FALSE)/VLOOKUP($A156,'Assumption Table'!$B$83:$C$101,2,FALSE)</f>
        <v>492.21401331064436</v>
      </c>
      <c r="J156" s="31">
        <f ca="1">VLOOKUP($A156,$126:$144,J$147+1,FALSE)/VLOOKUP($A156,'Assumption Table'!$B$83:$C$101,2,FALSE)</f>
        <v>620.74052643565858</v>
      </c>
      <c r="K156" s="31">
        <f ca="1">VLOOKUP($A156,$126:$144,K$147+1,FALSE)/VLOOKUP($A156,'Assumption Table'!$B$83:$C$101,2,FALSE)</f>
        <v>613.52985011776616</v>
      </c>
      <c r="L156" s="31">
        <f ca="1">VLOOKUP($A156,$126:$144,L$147+1,FALSE)/VLOOKUP($A156,'Assumption Table'!$B$83:$C$101,2,FALSE)</f>
        <v>719.51821000576069</v>
      </c>
      <c r="M156" s="31">
        <f ca="1">VLOOKUP($A156,$126:$144,M$147+1,FALSE)/VLOOKUP($A156,'Assumption Table'!$B$83:$C$101,2,FALSE)</f>
        <v>455.27748552772721</v>
      </c>
      <c r="N156" s="31">
        <f ca="1">VLOOKUP($A156,$126:$144,N$147+1,FALSE)/VLOOKUP($A156,'Assumption Table'!$B$83:$C$101,2,FALSE)</f>
        <v>977.21923095620355</v>
      </c>
      <c r="O156" s="31">
        <f ca="1">VLOOKUP($A156,$126:$144,O$147+1,FALSE)/VLOOKUP($A156,'Assumption Table'!$B$83:$C$101,2,FALSE)</f>
        <v>959.2174565712188</v>
      </c>
      <c r="P156" s="31">
        <f ca="1">VLOOKUP($A156,$126:$144,P$147+1,FALSE)/VLOOKUP($A156,'Assumption Table'!$B$83:$C$101,2,FALSE)</f>
        <v>1187.9612543807577</v>
      </c>
      <c r="Q156" s="31">
        <f ca="1">VLOOKUP($A156,$126:$144,Q$147+1,FALSE)/VLOOKUP($A156,'Assumption Table'!$B$83:$C$101,2,FALSE)</f>
        <v>1019.9436854968104</v>
      </c>
      <c r="R156" s="31">
        <f ca="1">VLOOKUP($A156,$126:$144,R$147+1,FALSE)/VLOOKUP($A156,'Assumption Table'!$B$83:$C$101,2,FALSE)</f>
        <v>1163.1027327032227</v>
      </c>
      <c r="S156" s="31">
        <f ca="1">VLOOKUP($A156,$126:$144,S$147+1,FALSE)/VLOOKUP($A156,'Assumption Table'!$B$83:$C$101,2,FALSE)</f>
        <v>953.79096664807741</v>
      </c>
      <c r="T156" s="31">
        <f ca="1">VLOOKUP($A156,$126:$144,T$147+1,FALSE)/VLOOKUP($A156,'Assumption Table'!$B$83:$C$101,2,FALSE)</f>
        <v>1001.24256912889</v>
      </c>
      <c r="U156" s="31">
        <f ca="1">VLOOKUP($A156,$126:$144,U$147+1,FALSE)/VLOOKUP($A156,'Assumption Table'!$B$83:$C$101,2,FALSE)</f>
        <v>936.09120517418637</v>
      </c>
      <c r="V156" s="31">
        <f ca="1">VLOOKUP($A156,$126:$144,V$147+1,FALSE)/VLOOKUP($A156,'Assumption Table'!$B$83:$C$101,2,FALSE)</f>
        <v>1529.289460826139</v>
      </c>
      <c r="W156" s="31">
        <f ca="1">VLOOKUP($A156,$126:$144,W$147+1,FALSE)/VLOOKUP($A156,'Assumption Table'!$B$83:$C$101,2,FALSE)</f>
        <v>1708.8813060373861</v>
      </c>
      <c r="X156" s="31">
        <f ca="1">VLOOKUP($A156,$126:$144,X$147+1,FALSE)/VLOOKUP($A156,'Assumption Table'!$B$83:$C$101,2,FALSE)</f>
        <v>1595.7230155071898</v>
      </c>
      <c r="Y156" s="31">
        <f ca="1">VLOOKUP($A156,$126:$144,Y$147+1,FALSE)/VLOOKUP($A156,'Assumption Table'!$B$83:$C$101,2,FALSE)</f>
        <v>1136.1751889115501</v>
      </c>
      <c r="Z156" s="31">
        <f ca="1">VLOOKUP($A156,$126:$144,Z$147+1,FALSE)/VLOOKUP($A156,'Assumption Table'!$B$83:$C$101,2,FALSE)</f>
        <v>2278.7593022663718</v>
      </c>
      <c r="AA156" s="31">
        <f ca="1">VLOOKUP($A156,$126:$144,AA$147+1,FALSE)/VLOOKUP($A156,'Assumption Table'!$B$83:$C$101,2,FALSE)</f>
        <v>1756.5362029583607</v>
      </c>
      <c r="AB156" s="31">
        <f ca="1">VLOOKUP($A156,$126:$144,AB$147+1,FALSE)/VLOOKUP($A156,'Assumption Table'!$B$83:$C$101,2,FALSE)</f>
        <v>1586.5114738482916</v>
      </c>
      <c r="AC156" s="31">
        <f ca="1">VLOOKUP($A156,$126:$144,AC$147+1,FALSE)/VLOOKUP($A156,'Assumption Table'!$B$83:$C$101,2,FALSE)</f>
        <v>2456.5896650470399</v>
      </c>
      <c r="AD156" s="31">
        <f ca="1">VLOOKUP($A156,$126:$144,AD$147+1,FALSE)/VLOOKUP($A156,'Assumption Table'!$B$83:$C$101,2,FALSE)</f>
        <v>1519.5617492513193</v>
      </c>
      <c r="AE156" s="31">
        <f ca="1">VLOOKUP($A156,$126:$144,AE$147+1,FALSE)/VLOOKUP($A156,'Assumption Table'!$B$83:$C$101,2,FALSE)</f>
        <v>2698.9565562283051</v>
      </c>
      <c r="AF156" s="31">
        <f ca="1">VLOOKUP($A156,$126:$144,AF$147+1,FALSE)/VLOOKUP($A156,'Assumption Table'!$B$83:$C$101,2,FALSE)</f>
        <v>1726.1991372898196</v>
      </c>
      <c r="AG156" s="31">
        <f ca="1">VLOOKUP($A156,$126:$144,AG$147+1,FALSE)/VLOOKUP($A156,'Assumption Table'!$B$83:$C$101,2,FALSE)</f>
        <v>1162.2348042661151</v>
      </c>
      <c r="AH156" s="31">
        <f ca="1">VLOOKUP($A156,$126:$144,AH$147+1,FALSE)/VLOOKUP($A156,'Assumption Table'!$B$83:$C$101,2,FALSE)</f>
        <v>1383.222993888779</v>
      </c>
      <c r="AI156" s="31">
        <f ca="1">VLOOKUP($A156,$126:$144,AI$147+1,FALSE)/VLOOKUP($A156,'Assumption Table'!$B$83:$C$101,2,FALSE)</f>
        <v>1985.4049432085792</v>
      </c>
      <c r="AJ156" s="31">
        <f ca="1">VLOOKUP($A156,$126:$144,AJ$147+1,FALSE)/VLOOKUP($A156,'Assumption Table'!$B$83:$C$101,2,FALSE)</f>
        <v>4193.2485883631261</v>
      </c>
      <c r="AK156" s="31">
        <f ca="1">VLOOKUP($A156,$126:$144,AK$147+1,FALSE)/VLOOKUP($A156,'Assumption Table'!$B$83:$C$101,2,FALSE)</f>
        <v>2124.4612556291454</v>
      </c>
      <c r="AL156" s="31">
        <f ca="1">VLOOKUP($A156,$126:$144,AL$147+1,FALSE)/VLOOKUP($A156,'Assumption Table'!$B$83:$C$101,2,FALSE)</f>
        <v>3392.7927189577636</v>
      </c>
      <c r="AM156" s="31">
        <f ca="1">VLOOKUP($A156,$126:$144,AM$147+1,FALSE)/VLOOKUP($A156,'Assumption Table'!$B$83:$C$101,2,FALSE)</f>
        <v>3671.7156240722702</v>
      </c>
      <c r="AN156" s="31">
        <f ca="1">VLOOKUP($A156,$126:$144,AN$147+1,FALSE)/VLOOKUP($A156,'Assumption Table'!$B$83:$C$101,2,FALSE)</f>
        <v>2905.0631174276004</v>
      </c>
      <c r="AO156" s="31">
        <f ca="1">VLOOKUP($A156,$126:$144,AO$147+1,FALSE)/VLOOKUP($A156,'Assumption Table'!$B$83:$C$101,2,FALSE)</f>
        <v>1374.9813182347798</v>
      </c>
      <c r="AP156" s="31">
        <f ca="1">VLOOKUP($A156,$126:$144,AP$147+1,FALSE)/VLOOKUP($A156,'Assumption Table'!$B$83:$C$101,2,FALSE)</f>
        <v>1739.0087817280687</v>
      </c>
      <c r="AQ156" s="31">
        <f ca="1">VLOOKUP($A156,$126:$144,AQ$147+1,FALSE)/VLOOKUP($A156,'Assumption Table'!$B$83:$C$101,2,FALSE)</f>
        <v>2591.8524395069003</v>
      </c>
      <c r="AR156" s="31">
        <f ca="1">VLOOKUP($A156,$126:$144,AR$147+1,FALSE)/VLOOKUP($A156,'Assumption Table'!$B$83:$C$101,2,FALSE)</f>
        <v>1593.5839390248084</v>
      </c>
      <c r="AS156" s="31">
        <f ca="1">VLOOKUP($A156,$126:$144,AS$147+1,FALSE)/VLOOKUP($A156,'Assumption Table'!$B$83:$C$101,2,FALSE)</f>
        <v>3674.8711049255226</v>
      </c>
      <c r="AT156" s="31">
        <f ca="1">VLOOKUP($A156,$126:$144,AT$147+1,FALSE)/VLOOKUP($A156,'Assumption Table'!$B$83:$C$101,2,FALSE)</f>
        <v>3744.9529662012337</v>
      </c>
      <c r="AU156" s="31">
        <f ca="1">VLOOKUP($A156,$126:$144,AU$147+1,FALSE)/VLOOKUP($A156,'Assumption Table'!$B$83:$C$101,2,FALSE)</f>
        <v>3381.5089489611023</v>
      </c>
      <c r="AV156" s="31">
        <f ca="1">VLOOKUP($A156,$126:$144,AV$147+1,FALSE)/VLOOKUP($A156,'Assumption Table'!$B$83:$C$101,2,FALSE)</f>
        <v>3719.0871271996812</v>
      </c>
      <c r="AW156" s="31">
        <f ca="1">VLOOKUP($A156,$126:$144,AW$147+1,FALSE)/VLOOKUP($A156,'Assumption Table'!$B$83:$C$101,2,FALSE)</f>
        <v>4110.7694926202139</v>
      </c>
      <c r="AX156" s="31">
        <f ca="1">VLOOKUP($A156,$126:$144,AX$147+1,FALSE)/VLOOKUP($A156,'Assumption Table'!$B$83:$C$101,2,FALSE)</f>
        <v>3668.9020326019036</v>
      </c>
      <c r="AY156" s="31">
        <f ca="1">VLOOKUP($A156,$126:$144,AY$147+1,FALSE)/VLOOKUP($A156,'Assumption Table'!$B$83:$C$101,2,FALSE)</f>
        <v>2919.5660909644853</v>
      </c>
      <c r="AZ156" s="31">
        <f ca="1">VLOOKUP($A156,$126:$144,AZ$147+1,FALSE)/VLOOKUP($A156,'Assumption Table'!$B$83:$C$101,2,FALSE)</f>
        <v>4155.5338223519584</v>
      </c>
      <c r="BA156" s="31">
        <f ca="1">VLOOKUP($A156,$126:$144,BA$147+1,FALSE)/VLOOKUP($A156,'Assumption Table'!$B$83:$C$101,2,FALSE)</f>
        <v>2633.7401904162443</v>
      </c>
      <c r="BB156" s="31">
        <f ca="1">VLOOKUP($A156,$126:$144,BB$147+1,FALSE)/VLOOKUP($A156,'Assumption Table'!$B$83:$C$101,2,FALSE)</f>
        <v>3658.8916064465202</v>
      </c>
      <c r="BC156" s="31">
        <f ca="1">VLOOKUP($A156,$126:$144,BC$147+1,FALSE)/VLOOKUP($A156,'Assumption Table'!$B$83:$C$101,2,FALSE)</f>
        <v>5290.6239968348355</v>
      </c>
      <c r="BD156" s="31">
        <f ca="1">VLOOKUP($A156,$126:$144,BD$147+1,FALSE)/VLOOKUP($A156,'Assumption Table'!$B$83:$C$101,2,FALSE)</f>
        <v>5267.1210722134101</v>
      </c>
      <c r="BE156" s="31">
        <f ca="1">VLOOKUP($A156,$126:$144,BE$147+1,FALSE)/VLOOKUP($A156,'Assumption Table'!$B$83:$C$101,2,FALSE)</f>
        <v>7032.8171464533925</v>
      </c>
      <c r="BF156" s="31">
        <f ca="1">VLOOKUP($A156,$126:$144,BF$147+1,FALSE)/VLOOKUP($A156,'Assumption Table'!$B$83:$C$101,2,FALSE)</f>
        <v>6990.0891729213281</v>
      </c>
      <c r="BG156" s="31">
        <f ca="1">VLOOKUP($A156,$126:$144,BG$147+1,FALSE)/VLOOKUP($A156,'Assumption Table'!$B$83:$C$101,2,FALSE)</f>
        <v>6294.8338276825862</v>
      </c>
      <c r="BH156" s="31">
        <f ca="1">VLOOKUP($A156,$126:$144,BH$147+1,FALSE)/VLOOKUP($A156,'Assumption Table'!$B$83:$C$101,2,FALSE)</f>
        <v>3642.4585648235184</v>
      </c>
      <c r="BI156" s="107">
        <f ca="1">VLOOKUP($A156,$126:$144,BI$147+1,FALSE)/VLOOKUP($A156,'Assumption Table'!$B$83:$C$101,2,FALSE)</f>
        <v>6329.9797848853814</v>
      </c>
      <c r="BJ156" s="10" t="str">
        <f t="shared" si="75"/>
        <v>Storage Devices</v>
      </c>
      <c r="BK156" s="115">
        <f ca="1">SUMIFS($B156:$BI156,$B$4:$BI$4,"&lt;=12")</f>
        <v>4392.1745030593129</v>
      </c>
      <c r="BL156" s="115">
        <f ca="1">SUMIFS($B156:$BI156,$B$4:$BI$4,"&lt;=24",$B$4:$BI$4,"&gt;12")</f>
        <v>14168.638072341633</v>
      </c>
      <c r="BM156" s="115">
        <f ca="1">SUMIFS($B156:$BI156,$B$4:$BI$4,"&lt;=36",$B$4:$BI$4,"&gt;24")</f>
        <v>24871.686672245254</v>
      </c>
      <c r="BN156" s="115">
        <f ca="1">SUMIFS($B156:$BI156,$B$4:$BI$4,"&lt;=48",$B$4:$BI$4,"&gt;36")</f>
        <v>35900.187578859943</v>
      </c>
      <c r="BO156" s="115">
        <f ca="1">SUMIFS($B156:$BI156,$B$4:$BI$4,"&lt;=60",$B$4:$BI$4,"&gt;48")</f>
        <v>57884.557308595555</v>
      </c>
    </row>
    <row r="157" spans="1:67" ht="13.4" customHeight="1">
      <c r="A157" s="5" t="s">
        <v>91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13"/>
      <c r="BJ157" s="8" t="str">
        <f t="shared" si="75"/>
        <v>Development Costs</v>
      </c>
      <c r="BK157" s="121"/>
      <c r="BL157" s="121"/>
      <c r="BM157" s="121"/>
      <c r="BN157" s="121"/>
      <c r="BO157" s="121"/>
    </row>
    <row r="158" spans="1:67" ht="13.4" customHeight="1">
      <c r="A158" s="98" t="s">
        <v>92</v>
      </c>
      <c r="B158" s="31">
        <f ca="1">VLOOKUP($A158,$126:$144,B$147+1,FALSE)/VLOOKUP($A158,'Assumption Table'!$B$83:$C$101,2,FALSE)</f>
        <v>151.73802591340134</v>
      </c>
      <c r="C158" s="31">
        <f ca="1">VLOOKUP($A158,$126:$144,C$147+1,FALSE)/VLOOKUP($A158,'Assumption Table'!$B$83:$C$101,2,FALSE)</f>
        <v>290.69149482729409</v>
      </c>
      <c r="D158" s="31">
        <f ca="1">VLOOKUP($A158,$126:$144,D$147+1,FALSE)/VLOOKUP($A158,'Assumption Table'!$B$83:$C$101,2,FALSE)</f>
        <v>567.7655503464922</v>
      </c>
      <c r="E158" s="31">
        <f ca="1">VLOOKUP($A158,$126:$144,E$147+1,FALSE)/VLOOKUP($A158,'Assumption Table'!$B$83:$C$101,2,FALSE)</f>
        <v>392.57025910725901</v>
      </c>
      <c r="F158" s="31">
        <f ca="1">VLOOKUP($A158,$126:$144,F$147+1,FALSE)/VLOOKUP($A158,'Assumption Table'!$B$83:$C$101,2,FALSE)</f>
        <v>533.05460733885343</v>
      </c>
      <c r="G158" s="31">
        <f ca="1">VLOOKUP($A158,$126:$144,G$147+1,FALSE)/VLOOKUP($A158,'Assumption Table'!$B$83:$C$101,2,FALSE)</f>
        <v>915.94167745725224</v>
      </c>
      <c r="H158" s="31">
        <f ca="1">VLOOKUP($A158,$126:$144,H$147+1,FALSE)/VLOOKUP($A158,'Assumption Table'!$B$83:$C$101,2,FALSE)</f>
        <v>875.47442916383557</v>
      </c>
      <c r="I158" s="31">
        <f ca="1">VLOOKUP($A158,$126:$144,I$147+1,FALSE)/VLOOKUP($A158,'Assumption Table'!$B$83:$C$101,2,FALSE)</f>
        <v>1230.5350332766109</v>
      </c>
      <c r="J158" s="31">
        <f ca="1">VLOOKUP($A158,$126:$144,J$147+1,FALSE)/VLOOKUP($A158,'Assumption Table'!$B$83:$C$101,2,FALSE)</f>
        <v>1551.8513160891466</v>
      </c>
      <c r="K158" s="31">
        <f ca="1">VLOOKUP($A158,$126:$144,K$147+1,FALSE)/VLOOKUP($A158,'Assumption Table'!$B$83:$C$101,2,FALSE)</f>
        <v>1533.8246252944155</v>
      </c>
      <c r="L158" s="31">
        <f ca="1">VLOOKUP($A158,$126:$144,L$147+1,FALSE)/VLOOKUP($A158,'Assumption Table'!$B$83:$C$101,2,FALSE)</f>
        <v>1798.7955250144018</v>
      </c>
      <c r="M158" s="31">
        <f ca="1">VLOOKUP($A158,$126:$144,M$147+1,FALSE)/VLOOKUP($A158,'Assumption Table'!$B$83:$C$101,2,FALSE)</f>
        <v>1138.193713819318</v>
      </c>
      <c r="N158" s="31">
        <f ca="1">VLOOKUP($A158,$126:$144,N$147+1,FALSE)/VLOOKUP($A158,'Assumption Table'!$B$83:$C$101,2,FALSE)</f>
        <v>2443.0480773905088</v>
      </c>
      <c r="O158" s="31">
        <f ca="1">VLOOKUP($A158,$126:$144,O$147+1,FALSE)/VLOOKUP($A158,'Assumption Table'!$B$83:$C$101,2,FALSE)</f>
        <v>2398.0436414280471</v>
      </c>
      <c r="P158" s="31">
        <f ca="1">VLOOKUP($A158,$126:$144,P$147+1,FALSE)/VLOOKUP($A158,'Assumption Table'!$B$83:$C$101,2,FALSE)</f>
        <v>2969.9031359518945</v>
      </c>
      <c r="Q158" s="31">
        <f ca="1">VLOOKUP($A158,$126:$144,Q$147+1,FALSE)/VLOOKUP($A158,'Assumption Table'!$B$83:$C$101,2,FALSE)</f>
        <v>2549.8592137420264</v>
      </c>
      <c r="R158" s="31">
        <f ca="1">VLOOKUP($A158,$126:$144,R$147+1,FALSE)/VLOOKUP($A158,'Assumption Table'!$B$83:$C$101,2,FALSE)</f>
        <v>2907.7568317580567</v>
      </c>
      <c r="S158" s="31">
        <f ca="1">VLOOKUP($A158,$126:$144,S$147+1,FALSE)/VLOOKUP($A158,'Assumption Table'!$B$83:$C$101,2,FALSE)</f>
        <v>2384.4774166201942</v>
      </c>
      <c r="T158" s="31">
        <f ca="1">VLOOKUP($A158,$126:$144,T$147+1,FALSE)/VLOOKUP($A158,'Assumption Table'!$B$83:$C$101,2,FALSE)</f>
        <v>2503.1064228222249</v>
      </c>
      <c r="U158" s="31">
        <f ca="1">VLOOKUP($A158,$126:$144,U$147+1,FALSE)/VLOOKUP($A158,'Assumption Table'!$B$83:$C$101,2,FALSE)</f>
        <v>2340.2280129354654</v>
      </c>
      <c r="V158" s="31">
        <f ca="1">VLOOKUP($A158,$126:$144,V$147+1,FALSE)/VLOOKUP($A158,'Assumption Table'!$B$83:$C$101,2,FALSE)</f>
        <v>3823.2236520653478</v>
      </c>
      <c r="W158" s="31">
        <f ca="1">VLOOKUP($A158,$126:$144,W$147+1,FALSE)/VLOOKUP($A158,'Assumption Table'!$B$83:$C$101,2,FALSE)</f>
        <v>4272.2032650934652</v>
      </c>
      <c r="X158" s="31">
        <f ca="1">VLOOKUP($A158,$126:$144,X$147+1,FALSE)/VLOOKUP($A158,'Assumption Table'!$B$83:$C$101,2,FALSE)</f>
        <v>3989.3075387679742</v>
      </c>
      <c r="Y158" s="31">
        <f ca="1">VLOOKUP($A158,$126:$144,Y$147+1,FALSE)/VLOOKUP($A158,'Assumption Table'!$B$83:$C$101,2,FALSE)</f>
        <v>2840.4379722788744</v>
      </c>
      <c r="Z158" s="31">
        <f ca="1">VLOOKUP($A158,$126:$144,Z$147+1,FALSE)/VLOOKUP($A158,'Assumption Table'!$B$83:$C$101,2,FALSE)</f>
        <v>5696.8982556659303</v>
      </c>
      <c r="AA158" s="31">
        <f ca="1">VLOOKUP($A158,$126:$144,AA$147+1,FALSE)/VLOOKUP($A158,'Assumption Table'!$B$83:$C$101,2,FALSE)</f>
        <v>4391.3405073959029</v>
      </c>
      <c r="AB158" s="31">
        <f ca="1">VLOOKUP($A158,$126:$144,AB$147+1,FALSE)/VLOOKUP($A158,'Assumption Table'!$B$83:$C$101,2,FALSE)</f>
        <v>3966.2786846207291</v>
      </c>
      <c r="AC158" s="31">
        <f ca="1">VLOOKUP($A158,$126:$144,AC$147+1,FALSE)/VLOOKUP($A158,'Assumption Table'!$B$83:$C$101,2,FALSE)</f>
        <v>6141.4741626176001</v>
      </c>
      <c r="AD158" s="31">
        <f ca="1">VLOOKUP($A158,$126:$144,AD$147+1,FALSE)/VLOOKUP($A158,'Assumption Table'!$B$83:$C$101,2,FALSE)</f>
        <v>3798.9043731282977</v>
      </c>
      <c r="AE158" s="31">
        <f ca="1">VLOOKUP($A158,$126:$144,AE$147+1,FALSE)/VLOOKUP($A158,'Assumption Table'!$B$83:$C$101,2,FALSE)</f>
        <v>6747.3913905707632</v>
      </c>
      <c r="AF158" s="31">
        <f ca="1">VLOOKUP($A158,$126:$144,AF$147+1,FALSE)/VLOOKUP($A158,'Assumption Table'!$B$83:$C$101,2,FALSE)</f>
        <v>4315.4978432245489</v>
      </c>
      <c r="AG158" s="31">
        <f ca="1">VLOOKUP($A158,$126:$144,AG$147+1,FALSE)/VLOOKUP($A158,'Assumption Table'!$B$83:$C$101,2,FALSE)</f>
        <v>2905.5870106652883</v>
      </c>
      <c r="AH158" s="31">
        <f ca="1">VLOOKUP($A158,$126:$144,AH$147+1,FALSE)/VLOOKUP($A158,'Assumption Table'!$B$83:$C$101,2,FALSE)</f>
        <v>3458.0574847219473</v>
      </c>
      <c r="AI158" s="31">
        <f ca="1">VLOOKUP($A158,$126:$144,AI$147+1,FALSE)/VLOOKUP($A158,'Assumption Table'!$B$83:$C$101,2,FALSE)</f>
        <v>4963.5123580214486</v>
      </c>
      <c r="AJ158" s="31">
        <f ca="1">VLOOKUP($A158,$126:$144,AJ$147+1,FALSE)/VLOOKUP($A158,'Assumption Table'!$B$83:$C$101,2,FALSE)</f>
        <v>10483.121470907818</v>
      </c>
      <c r="AK158" s="31">
        <f ca="1">VLOOKUP($A158,$126:$144,AK$147+1,FALSE)/VLOOKUP($A158,'Assumption Table'!$B$83:$C$101,2,FALSE)</f>
        <v>5311.1531390728642</v>
      </c>
      <c r="AL158" s="31">
        <f ca="1">VLOOKUP($A158,$126:$144,AL$147+1,FALSE)/VLOOKUP($A158,'Assumption Table'!$B$83:$C$101,2,FALSE)</f>
        <v>8481.98179739441</v>
      </c>
      <c r="AM158" s="31">
        <f ca="1">VLOOKUP($A158,$126:$144,AM$147+1,FALSE)/VLOOKUP($A158,'Assumption Table'!$B$83:$C$101,2,FALSE)</f>
        <v>9179.2890601806757</v>
      </c>
      <c r="AN158" s="31">
        <f ca="1">VLOOKUP($A158,$126:$144,AN$147+1,FALSE)/VLOOKUP($A158,'Assumption Table'!$B$83:$C$101,2,FALSE)</f>
        <v>7262.6577935690011</v>
      </c>
      <c r="AO158" s="31">
        <f ca="1">VLOOKUP($A158,$126:$144,AO$147+1,FALSE)/VLOOKUP($A158,'Assumption Table'!$B$83:$C$101,2,FALSE)</f>
        <v>3437.4532955869499</v>
      </c>
      <c r="AP158" s="31">
        <f ca="1">VLOOKUP($A158,$126:$144,AP$147+1,FALSE)/VLOOKUP($A158,'Assumption Table'!$B$83:$C$101,2,FALSE)</f>
        <v>4347.521954320172</v>
      </c>
      <c r="AQ158" s="31">
        <f ca="1">VLOOKUP($A158,$126:$144,AQ$147+1,FALSE)/VLOOKUP($A158,'Assumption Table'!$B$83:$C$101,2,FALSE)</f>
        <v>6479.6310987672505</v>
      </c>
      <c r="AR158" s="31">
        <f ca="1">VLOOKUP($A158,$126:$144,AR$147+1,FALSE)/VLOOKUP($A158,'Assumption Table'!$B$83:$C$101,2,FALSE)</f>
        <v>3983.9598475620214</v>
      </c>
      <c r="AS158" s="31">
        <f ca="1">VLOOKUP($A158,$126:$144,AS$147+1,FALSE)/VLOOKUP($A158,'Assumption Table'!$B$83:$C$101,2,FALSE)</f>
        <v>9187.1777623138059</v>
      </c>
      <c r="AT158" s="31">
        <f ca="1">VLOOKUP($A158,$126:$144,AT$147+1,FALSE)/VLOOKUP($A158,'Assumption Table'!$B$83:$C$101,2,FALSE)</f>
        <v>9362.3824155030834</v>
      </c>
      <c r="AU158" s="31">
        <f ca="1">VLOOKUP($A158,$126:$144,AU$147+1,FALSE)/VLOOKUP($A158,'Assumption Table'!$B$83:$C$101,2,FALSE)</f>
        <v>8453.7723724027546</v>
      </c>
      <c r="AV158" s="31">
        <f ca="1">VLOOKUP($A158,$126:$144,AV$147+1,FALSE)/VLOOKUP($A158,'Assumption Table'!$B$83:$C$101,2,FALSE)</f>
        <v>9297.7178179992025</v>
      </c>
      <c r="AW158" s="31">
        <f ca="1">VLOOKUP($A158,$126:$144,AW$147+1,FALSE)/VLOOKUP($A158,'Assumption Table'!$B$83:$C$101,2,FALSE)</f>
        <v>10276.923731550538</v>
      </c>
      <c r="AX158" s="31">
        <f ca="1">VLOOKUP($A158,$126:$144,AX$147+1,FALSE)/VLOOKUP($A158,'Assumption Table'!$B$83:$C$101,2,FALSE)</f>
        <v>9172.2550815047598</v>
      </c>
      <c r="AY158" s="31">
        <f ca="1">VLOOKUP($A158,$126:$144,AY$147+1,FALSE)/VLOOKUP($A158,'Assumption Table'!$B$83:$C$101,2,FALSE)</f>
        <v>7298.915227411213</v>
      </c>
      <c r="AZ158" s="31">
        <f ca="1">VLOOKUP($A158,$126:$144,AZ$147+1,FALSE)/VLOOKUP($A158,'Assumption Table'!$B$83:$C$101,2,FALSE)</f>
        <v>10388.834555879897</v>
      </c>
      <c r="BA158" s="31">
        <f ca="1">VLOOKUP($A158,$126:$144,BA$147+1,FALSE)/VLOOKUP($A158,'Assumption Table'!$B$83:$C$101,2,FALSE)</f>
        <v>6584.3504760406104</v>
      </c>
      <c r="BB158" s="31">
        <f ca="1">VLOOKUP($A158,$126:$144,BB$147+1,FALSE)/VLOOKUP($A158,'Assumption Table'!$B$83:$C$101,2,FALSE)</f>
        <v>9147.2290161163</v>
      </c>
      <c r="BC158" s="31">
        <f ca="1">VLOOKUP($A158,$126:$144,BC$147+1,FALSE)/VLOOKUP($A158,'Assumption Table'!$B$83:$C$101,2,FALSE)</f>
        <v>13226.55999208709</v>
      </c>
      <c r="BD158" s="31">
        <f ca="1">VLOOKUP($A158,$126:$144,BD$147+1,FALSE)/VLOOKUP($A158,'Assumption Table'!$B$83:$C$101,2,FALSE)</f>
        <v>13167.802680533527</v>
      </c>
      <c r="BE158" s="31">
        <f ca="1">VLOOKUP($A158,$126:$144,BE$147+1,FALSE)/VLOOKUP($A158,'Assumption Table'!$B$83:$C$101,2,FALSE)</f>
        <v>17582.042866133481</v>
      </c>
      <c r="BF158" s="31">
        <f ca="1">VLOOKUP($A158,$126:$144,BF$147+1,FALSE)/VLOOKUP($A158,'Assumption Table'!$B$83:$C$101,2,FALSE)</f>
        <v>17475.222932303317</v>
      </c>
      <c r="BG158" s="31">
        <f ca="1">VLOOKUP($A158,$126:$144,BG$147+1,FALSE)/VLOOKUP($A158,'Assumption Table'!$B$83:$C$101,2,FALSE)</f>
        <v>15737.084569206465</v>
      </c>
      <c r="BH158" s="31">
        <f ca="1">VLOOKUP($A158,$126:$144,BH$147+1,FALSE)/VLOOKUP($A158,'Assumption Table'!$B$83:$C$101,2,FALSE)</f>
        <v>9106.1464120587971</v>
      </c>
      <c r="BI158" s="107">
        <f ca="1">VLOOKUP($A158,$126:$144,BI$147+1,FALSE)/VLOOKUP($A158,'Assumption Table'!$B$83:$C$101,2,FALSE)</f>
        <v>15824.949462213453</v>
      </c>
      <c r="BJ158" s="10" t="str">
        <f t="shared" si="75"/>
        <v>Product Development</v>
      </c>
      <c r="BK158" s="115">
        <f ca="1">SUMIFS($B158:$BI158,$B$4:$BI$4,"&lt;=12")</f>
        <v>10980.436257648282</v>
      </c>
      <c r="BL158" s="115">
        <f ca="1">SUMIFS($B158:$BI158,$B$4:$BI$4,"&lt;=24",$B$4:$BI$4,"&gt;12")</f>
        <v>35421.595180854078</v>
      </c>
      <c r="BM158" s="115">
        <f ca="1">SUMIFS($B158:$BI158,$B$4:$BI$4,"&lt;=36",$B$4:$BI$4,"&gt;24")</f>
        <v>62179.216680613135</v>
      </c>
      <c r="BN158" s="115">
        <f ca="1">SUMIFS($B158:$BI158,$B$4:$BI$4,"&lt;=48",$B$4:$BI$4,"&gt;36")</f>
        <v>89750.468947149871</v>
      </c>
      <c r="BO158" s="115">
        <f ca="1">SUMIFS($B158:$BI158,$B$4:$BI$4,"&lt;=60",$B$4:$BI$4,"&gt;48")</f>
        <v>144711.39327148892</v>
      </c>
    </row>
    <row r="159" spans="1:67" ht="13.4" customHeight="1">
      <c r="A159" s="98" t="s">
        <v>93</v>
      </c>
      <c r="B159" s="31">
        <f ca="1">VLOOKUP($A159,$126:$144,B$147+1,FALSE)/VLOOKUP($A159,'Assumption Table'!$B$83:$C$101,2,FALSE)</f>
        <v>60.695210365360523</v>
      </c>
      <c r="C159" s="31">
        <f ca="1">VLOOKUP($A159,$126:$144,C$147+1,FALSE)/VLOOKUP($A159,'Assumption Table'!$B$83:$C$101,2,FALSE)</f>
        <v>116.27659793091763</v>
      </c>
      <c r="D159" s="31">
        <f ca="1">VLOOKUP($A159,$126:$144,D$147+1,FALSE)/VLOOKUP($A159,'Assumption Table'!$B$83:$C$101,2,FALSE)</f>
        <v>227.10622013859694</v>
      </c>
      <c r="E159" s="31">
        <f ca="1">VLOOKUP($A159,$126:$144,E$147+1,FALSE)/VLOOKUP($A159,'Assumption Table'!$B$83:$C$101,2,FALSE)</f>
        <v>157.0281036429036</v>
      </c>
      <c r="F159" s="31">
        <f ca="1">VLOOKUP($A159,$126:$144,F$147+1,FALSE)/VLOOKUP($A159,'Assumption Table'!$B$83:$C$101,2,FALSE)</f>
        <v>213.22184293554136</v>
      </c>
      <c r="G159" s="31">
        <f ca="1">VLOOKUP($A159,$126:$144,G$147+1,FALSE)/VLOOKUP($A159,'Assumption Table'!$B$83:$C$101,2,FALSE)</f>
        <v>366.37667098290086</v>
      </c>
      <c r="H159" s="31">
        <f ca="1">VLOOKUP($A159,$126:$144,H$147+1,FALSE)/VLOOKUP($A159,'Assumption Table'!$B$83:$C$101,2,FALSE)</f>
        <v>350.18977166553418</v>
      </c>
      <c r="I159" s="31">
        <f ca="1">VLOOKUP($A159,$126:$144,I$147+1,FALSE)/VLOOKUP($A159,'Assumption Table'!$B$83:$C$101,2,FALSE)</f>
        <v>492.21401331064436</v>
      </c>
      <c r="J159" s="31">
        <f ca="1">VLOOKUP($A159,$126:$144,J$147+1,FALSE)/VLOOKUP($A159,'Assumption Table'!$B$83:$C$101,2,FALSE)</f>
        <v>620.74052643565858</v>
      </c>
      <c r="K159" s="31">
        <f ca="1">VLOOKUP($A159,$126:$144,K$147+1,FALSE)/VLOOKUP($A159,'Assumption Table'!$B$83:$C$101,2,FALSE)</f>
        <v>613.52985011776616</v>
      </c>
      <c r="L159" s="31">
        <f ca="1">VLOOKUP($A159,$126:$144,L$147+1,FALSE)/VLOOKUP($A159,'Assumption Table'!$B$83:$C$101,2,FALSE)</f>
        <v>719.51821000576069</v>
      </c>
      <c r="M159" s="31">
        <f ca="1">VLOOKUP($A159,$126:$144,M$147+1,FALSE)/VLOOKUP($A159,'Assumption Table'!$B$83:$C$101,2,FALSE)</f>
        <v>455.27748552772721</v>
      </c>
      <c r="N159" s="31">
        <f ca="1">VLOOKUP($A159,$126:$144,N$147+1,FALSE)/VLOOKUP($A159,'Assumption Table'!$B$83:$C$101,2,FALSE)</f>
        <v>977.21923095620355</v>
      </c>
      <c r="O159" s="31">
        <f ca="1">VLOOKUP($A159,$126:$144,O$147+1,FALSE)/VLOOKUP($A159,'Assumption Table'!$B$83:$C$101,2,FALSE)</f>
        <v>959.2174565712188</v>
      </c>
      <c r="P159" s="31">
        <f ca="1">VLOOKUP($A159,$126:$144,P$147+1,FALSE)/VLOOKUP($A159,'Assumption Table'!$B$83:$C$101,2,FALSE)</f>
        <v>1187.9612543807577</v>
      </c>
      <c r="Q159" s="31">
        <f ca="1">VLOOKUP($A159,$126:$144,Q$147+1,FALSE)/VLOOKUP($A159,'Assumption Table'!$B$83:$C$101,2,FALSE)</f>
        <v>1019.9436854968104</v>
      </c>
      <c r="R159" s="31">
        <f ca="1">VLOOKUP($A159,$126:$144,R$147+1,FALSE)/VLOOKUP($A159,'Assumption Table'!$B$83:$C$101,2,FALSE)</f>
        <v>1163.1027327032227</v>
      </c>
      <c r="S159" s="31">
        <f ca="1">VLOOKUP($A159,$126:$144,S$147+1,FALSE)/VLOOKUP($A159,'Assumption Table'!$B$83:$C$101,2,FALSE)</f>
        <v>953.79096664807741</v>
      </c>
      <c r="T159" s="31">
        <f ca="1">VLOOKUP($A159,$126:$144,T$147+1,FALSE)/VLOOKUP($A159,'Assumption Table'!$B$83:$C$101,2,FALSE)</f>
        <v>1001.24256912889</v>
      </c>
      <c r="U159" s="31">
        <f ca="1">VLOOKUP($A159,$126:$144,U$147+1,FALSE)/VLOOKUP($A159,'Assumption Table'!$B$83:$C$101,2,FALSE)</f>
        <v>936.09120517418637</v>
      </c>
      <c r="V159" s="31">
        <f ca="1">VLOOKUP($A159,$126:$144,V$147+1,FALSE)/VLOOKUP($A159,'Assumption Table'!$B$83:$C$101,2,FALSE)</f>
        <v>1529.289460826139</v>
      </c>
      <c r="W159" s="31">
        <f ca="1">VLOOKUP($A159,$126:$144,W$147+1,FALSE)/VLOOKUP($A159,'Assumption Table'!$B$83:$C$101,2,FALSE)</f>
        <v>1708.8813060373861</v>
      </c>
      <c r="X159" s="31">
        <f ca="1">VLOOKUP($A159,$126:$144,X$147+1,FALSE)/VLOOKUP($A159,'Assumption Table'!$B$83:$C$101,2,FALSE)</f>
        <v>1595.7230155071898</v>
      </c>
      <c r="Y159" s="31">
        <f ca="1">VLOOKUP($A159,$126:$144,Y$147+1,FALSE)/VLOOKUP($A159,'Assumption Table'!$B$83:$C$101,2,FALSE)</f>
        <v>1136.1751889115501</v>
      </c>
      <c r="Z159" s="31">
        <f ca="1">VLOOKUP($A159,$126:$144,Z$147+1,FALSE)/VLOOKUP($A159,'Assumption Table'!$B$83:$C$101,2,FALSE)</f>
        <v>2278.7593022663718</v>
      </c>
      <c r="AA159" s="31">
        <f ca="1">VLOOKUP($A159,$126:$144,AA$147+1,FALSE)/VLOOKUP($A159,'Assumption Table'!$B$83:$C$101,2,FALSE)</f>
        <v>1756.5362029583607</v>
      </c>
      <c r="AB159" s="31">
        <f ca="1">VLOOKUP($A159,$126:$144,AB$147+1,FALSE)/VLOOKUP($A159,'Assumption Table'!$B$83:$C$101,2,FALSE)</f>
        <v>1586.5114738482916</v>
      </c>
      <c r="AC159" s="31">
        <f ca="1">VLOOKUP($A159,$126:$144,AC$147+1,FALSE)/VLOOKUP($A159,'Assumption Table'!$B$83:$C$101,2,FALSE)</f>
        <v>2456.5896650470399</v>
      </c>
      <c r="AD159" s="31">
        <f ca="1">VLOOKUP($A159,$126:$144,AD$147+1,FALSE)/VLOOKUP($A159,'Assumption Table'!$B$83:$C$101,2,FALSE)</f>
        <v>1519.5617492513193</v>
      </c>
      <c r="AE159" s="31">
        <f ca="1">VLOOKUP($A159,$126:$144,AE$147+1,FALSE)/VLOOKUP($A159,'Assumption Table'!$B$83:$C$101,2,FALSE)</f>
        <v>2698.9565562283051</v>
      </c>
      <c r="AF159" s="31">
        <f ca="1">VLOOKUP($A159,$126:$144,AF$147+1,FALSE)/VLOOKUP($A159,'Assumption Table'!$B$83:$C$101,2,FALSE)</f>
        <v>1726.1991372898196</v>
      </c>
      <c r="AG159" s="31">
        <f ca="1">VLOOKUP($A159,$126:$144,AG$147+1,FALSE)/VLOOKUP($A159,'Assumption Table'!$B$83:$C$101,2,FALSE)</f>
        <v>1162.2348042661151</v>
      </c>
      <c r="AH159" s="31">
        <f ca="1">VLOOKUP($A159,$126:$144,AH$147+1,FALSE)/VLOOKUP($A159,'Assumption Table'!$B$83:$C$101,2,FALSE)</f>
        <v>1383.222993888779</v>
      </c>
      <c r="AI159" s="31">
        <f ca="1">VLOOKUP($A159,$126:$144,AI$147+1,FALSE)/VLOOKUP($A159,'Assumption Table'!$B$83:$C$101,2,FALSE)</f>
        <v>1985.4049432085792</v>
      </c>
      <c r="AJ159" s="31">
        <f ca="1">VLOOKUP($A159,$126:$144,AJ$147+1,FALSE)/VLOOKUP($A159,'Assumption Table'!$B$83:$C$101,2,FALSE)</f>
        <v>4193.2485883631261</v>
      </c>
      <c r="AK159" s="31">
        <f ca="1">VLOOKUP($A159,$126:$144,AK$147+1,FALSE)/VLOOKUP($A159,'Assumption Table'!$B$83:$C$101,2,FALSE)</f>
        <v>2124.4612556291454</v>
      </c>
      <c r="AL159" s="31">
        <f ca="1">VLOOKUP($A159,$126:$144,AL$147+1,FALSE)/VLOOKUP($A159,'Assumption Table'!$B$83:$C$101,2,FALSE)</f>
        <v>3392.7927189577636</v>
      </c>
      <c r="AM159" s="31">
        <f ca="1">VLOOKUP($A159,$126:$144,AM$147+1,FALSE)/VLOOKUP($A159,'Assumption Table'!$B$83:$C$101,2,FALSE)</f>
        <v>3671.7156240722702</v>
      </c>
      <c r="AN159" s="31">
        <f ca="1">VLOOKUP($A159,$126:$144,AN$147+1,FALSE)/VLOOKUP($A159,'Assumption Table'!$B$83:$C$101,2,FALSE)</f>
        <v>2905.0631174276004</v>
      </c>
      <c r="AO159" s="31">
        <f ca="1">VLOOKUP($A159,$126:$144,AO$147+1,FALSE)/VLOOKUP($A159,'Assumption Table'!$B$83:$C$101,2,FALSE)</f>
        <v>1374.9813182347798</v>
      </c>
      <c r="AP159" s="31">
        <f ca="1">VLOOKUP($A159,$126:$144,AP$147+1,FALSE)/VLOOKUP($A159,'Assumption Table'!$B$83:$C$101,2,FALSE)</f>
        <v>1739.0087817280687</v>
      </c>
      <c r="AQ159" s="31">
        <f ca="1">VLOOKUP($A159,$126:$144,AQ$147+1,FALSE)/VLOOKUP($A159,'Assumption Table'!$B$83:$C$101,2,FALSE)</f>
        <v>2591.8524395069003</v>
      </c>
      <c r="AR159" s="31">
        <f ca="1">VLOOKUP($A159,$126:$144,AR$147+1,FALSE)/VLOOKUP($A159,'Assumption Table'!$B$83:$C$101,2,FALSE)</f>
        <v>1593.5839390248084</v>
      </c>
      <c r="AS159" s="31">
        <f ca="1">VLOOKUP($A159,$126:$144,AS$147+1,FALSE)/VLOOKUP($A159,'Assumption Table'!$B$83:$C$101,2,FALSE)</f>
        <v>3674.8711049255226</v>
      </c>
      <c r="AT159" s="31">
        <f ca="1">VLOOKUP($A159,$126:$144,AT$147+1,FALSE)/VLOOKUP($A159,'Assumption Table'!$B$83:$C$101,2,FALSE)</f>
        <v>3744.9529662012337</v>
      </c>
      <c r="AU159" s="31">
        <f ca="1">VLOOKUP($A159,$126:$144,AU$147+1,FALSE)/VLOOKUP($A159,'Assumption Table'!$B$83:$C$101,2,FALSE)</f>
        <v>3381.5089489611023</v>
      </c>
      <c r="AV159" s="31">
        <f ca="1">VLOOKUP($A159,$126:$144,AV$147+1,FALSE)/VLOOKUP($A159,'Assumption Table'!$B$83:$C$101,2,FALSE)</f>
        <v>3719.0871271996812</v>
      </c>
      <c r="AW159" s="31">
        <f ca="1">VLOOKUP($A159,$126:$144,AW$147+1,FALSE)/VLOOKUP($A159,'Assumption Table'!$B$83:$C$101,2,FALSE)</f>
        <v>4110.7694926202139</v>
      </c>
      <c r="AX159" s="31">
        <f ca="1">VLOOKUP($A159,$126:$144,AX$147+1,FALSE)/VLOOKUP($A159,'Assumption Table'!$B$83:$C$101,2,FALSE)</f>
        <v>3668.9020326019036</v>
      </c>
      <c r="AY159" s="31">
        <f ca="1">VLOOKUP($A159,$126:$144,AY$147+1,FALSE)/VLOOKUP($A159,'Assumption Table'!$B$83:$C$101,2,FALSE)</f>
        <v>2919.5660909644853</v>
      </c>
      <c r="AZ159" s="31">
        <f ca="1">VLOOKUP($A159,$126:$144,AZ$147+1,FALSE)/VLOOKUP($A159,'Assumption Table'!$B$83:$C$101,2,FALSE)</f>
        <v>4155.5338223519584</v>
      </c>
      <c r="BA159" s="31">
        <f ca="1">VLOOKUP($A159,$126:$144,BA$147+1,FALSE)/VLOOKUP($A159,'Assumption Table'!$B$83:$C$101,2,FALSE)</f>
        <v>2633.7401904162443</v>
      </c>
      <c r="BB159" s="31">
        <f ca="1">VLOOKUP($A159,$126:$144,BB$147+1,FALSE)/VLOOKUP($A159,'Assumption Table'!$B$83:$C$101,2,FALSE)</f>
        <v>3658.8916064465202</v>
      </c>
      <c r="BC159" s="31">
        <f ca="1">VLOOKUP($A159,$126:$144,BC$147+1,FALSE)/VLOOKUP($A159,'Assumption Table'!$B$83:$C$101,2,FALSE)</f>
        <v>5290.6239968348355</v>
      </c>
      <c r="BD159" s="31">
        <f ca="1">VLOOKUP($A159,$126:$144,BD$147+1,FALSE)/VLOOKUP($A159,'Assumption Table'!$B$83:$C$101,2,FALSE)</f>
        <v>5267.1210722134101</v>
      </c>
      <c r="BE159" s="31">
        <f ca="1">VLOOKUP($A159,$126:$144,BE$147+1,FALSE)/VLOOKUP($A159,'Assumption Table'!$B$83:$C$101,2,FALSE)</f>
        <v>7032.8171464533925</v>
      </c>
      <c r="BF159" s="31">
        <f ca="1">VLOOKUP($A159,$126:$144,BF$147+1,FALSE)/VLOOKUP($A159,'Assumption Table'!$B$83:$C$101,2,FALSE)</f>
        <v>6990.0891729213281</v>
      </c>
      <c r="BG159" s="31">
        <f ca="1">VLOOKUP($A159,$126:$144,BG$147+1,FALSE)/VLOOKUP($A159,'Assumption Table'!$B$83:$C$101,2,FALSE)</f>
        <v>6294.8338276825862</v>
      </c>
      <c r="BH159" s="31">
        <f ca="1">VLOOKUP($A159,$126:$144,BH$147+1,FALSE)/VLOOKUP($A159,'Assumption Table'!$B$83:$C$101,2,FALSE)</f>
        <v>3642.4585648235184</v>
      </c>
      <c r="BI159" s="107">
        <f ca="1">VLOOKUP($A159,$126:$144,BI$147+1,FALSE)/VLOOKUP($A159,'Assumption Table'!$B$83:$C$101,2,FALSE)</f>
        <v>6329.9797848853814</v>
      </c>
      <c r="BJ159" s="10" t="str">
        <f t="shared" si="75"/>
        <v>Research and Development</v>
      </c>
      <c r="BK159" s="115">
        <f ca="1">SUMIFS($B159:$BI159,$B$4:$BI$4,"&lt;=12")</f>
        <v>4392.1745030593129</v>
      </c>
      <c r="BL159" s="115">
        <f ca="1">SUMIFS($B159:$BI159,$B$4:$BI$4,"&lt;=24",$B$4:$BI$4,"&gt;12")</f>
        <v>14168.638072341633</v>
      </c>
      <c r="BM159" s="115">
        <f ca="1">SUMIFS($B159:$BI159,$B$4:$BI$4,"&lt;=36",$B$4:$BI$4,"&gt;24")</f>
        <v>24871.686672245254</v>
      </c>
      <c r="BN159" s="115">
        <f ca="1">SUMIFS($B159:$BI159,$B$4:$BI$4,"&lt;=48",$B$4:$BI$4,"&gt;36")</f>
        <v>35900.187578859943</v>
      </c>
      <c r="BO159" s="115">
        <f ca="1">SUMIFS($B159:$BI159,$B$4:$BI$4,"&lt;=60",$B$4:$BI$4,"&gt;48")</f>
        <v>57884.557308595555</v>
      </c>
    </row>
    <row r="160" spans="1:67" ht="13.4" customHeight="1">
      <c r="A160" s="5" t="s">
        <v>94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13"/>
      <c r="BJ160" s="8" t="str">
        <f t="shared" si="75"/>
        <v>Intellectual Property</v>
      </c>
      <c r="BK160" s="121"/>
      <c r="BL160" s="121"/>
      <c r="BM160" s="121"/>
      <c r="BN160" s="121"/>
      <c r="BO160" s="121"/>
    </row>
    <row r="161" spans="1:67" ht="13.4" customHeight="1">
      <c r="A161" s="98" t="s">
        <v>95</v>
      </c>
      <c r="B161" s="31">
        <f ca="1">VLOOKUP($A161,$126:$144,B$147+1,FALSE)/VLOOKUP($A161,'Assumption Table'!$B$83:$C$101,2,FALSE)</f>
        <v>3.7934506478350327</v>
      </c>
      <c r="C161" s="31">
        <f ca="1">VLOOKUP($A161,$126:$144,C$147+1,FALSE)/VLOOKUP($A161,'Assumption Table'!$B$83:$C$101,2,FALSE)</f>
        <v>7.3147055037802895</v>
      </c>
      <c r="D161" s="31">
        <f ca="1">VLOOKUP($A161,$126:$144,D$147+1,FALSE)/VLOOKUP($A161,'Assumption Table'!$B$83:$C$101,2,FALSE)</f>
        <v>14.284782275241263</v>
      </c>
      <c r="E161" s="31">
        <f ca="1">VLOOKUP($A161,$126:$144,E$147+1,FALSE)/VLOOKUP($A161,'Assumption Table'!$B$83:$C$101,2,FALSE)</f>
        <v>9.9913055308456737</v>
      </c>
      <c r="F161" s="31">
        <f ca="1">VLOOKUP($A161,$126:$144,F$147+1,FALSE)/VLOOKUP($A161,'Assumption Table'!$B$83:$C$101,2,FALSE)</f>
        <v>13.448305685054171</v>
      </c>
      <c r="G161" s="31">
        <f ca="1">VLOOKUP($A161,$126:$144,G$147+1,FALSE)/VLOOKUP($A161,'Assumption Table'!$B$83:$C$101,2,FALSE)</f>
        <v>23.064613415801436</v>
      </c>
      <c r="H161" s="31">
        <f ca="1">VLOOKUP($A161,$126:$144,H$147+1,FALSE)/VLOOKUP($A161,'Assumption Table'!$B$83:$C$101,2,FALSE)</f>
        <v>22.172400538803902</v>
      </c>
      <c r="I161" s="31">
        <f ca="1">VLOOKUP($A161,$126:$144,I$147+1,FALSE)/VLOOKUP($A161,'Assumption Table'!$B$83:$C$101,2,FALSE)</f>
        <v>31.035771841821852</v>
      </c>
      <c r="J161" s="31">
        <f ca="1">VLOOKUP($A161,$126:$144,J$147+1,FALSE)/VLOOKUP($A161,'Assumption Table'!$B$83:$C$101,2,FALSE)</f>
        <v>39.179690116752994</v>
      </c>
      <c r="K161" s="31">
        <f ca="1">VLOOKUP($A161,$126:$144,K$147+1,FALSE)/VLOOKUP($A161,'Assumption Table'!$B$83:$C$101,2,FALSE)</f>
        <v>38.828971638577727</v>
      </c>
      <c r="L161" s="31">
        <f ca="1">VLOOKUP($A161,$126:$144,L$147+1,FALSE)/VLOOKUP($A161,'Assumption Table'!$B$83:$C$101,2,FALSE)</f>
        <v>45.447194337405314</v>
      </c>
      <c r="M161" s="31">
        <f ca="1">VLOOKUP($A161,$126:$144,M$147+1,FALSE)/VLOOKUP($A161,'Assumption Table'!$B$83:$C$101,2,FALSE)</f>
        <v>29.014977671166427</v>
      </c>
      <c r="N161" s="31">
        <f ca="1">VLOOKUP($A161,$126:$144,N$147+1,FALSE)/VLOOKUP($A161,'Assumption Table'!$B$83:$C$101,2,FALSE)</f>
        <v>61.42955357522424</v>
      </c>
      <c r="O161" s="31">
        <f ca="1">VLOOKUP($A161,$126:$144,O$147+1,FALSE)/VLOOKUP($A161,'Assumption Table'!$B$83:$C$101,2,FALSE)</f>
        <v>60.713071261383782</v>
      </c>
      <c r="P161" s="31">
        <f ca="1">VLOOKUP($A161,$126:$144,P$147+1,FALSE)/VLOOKUP($A161,'Assumption Table'!$B$83:$C$101,2,FALSE)</f>
        <v>74.993792119136614</v>
      </c>
      <c r="Q161" s="31">
        <f ca="1">VLOOKUP($A161,$126:$144,Q$147+1,FALSE)/VLOOKUP($A161,'Assumption Table'!$B$83:$C$101,2,FALSE)</f>
        <v>64.67146584970088</v>
      </c>
      <c r="R161" s="31">
        <f ca="1">VLOOKUP($A161,$126:$144,R$147+1,FALSE)/VLOOKUP($A161,'Assumption Table'!$B$83:$C$101,2,FALSE)</f>
        <v>73.486897691970171</v>
      </c>
      <c r="S161" s="31">
        <f ca="1">VLOOKUP($A161,$126:$144,S$147+1,FALSE)/VLOOKUP($A161,'Assumption Table'!$B$83:$C$101,2,FALSE)</f>
        <v>60.517305355020817</v>
      </c>
      <c r="T161" s="31">
        <f ca="1">VLOOKUP($A161,$126:$144,T$147+1,FALSE)/VLOOKUP($A161,'Assumption Table'!$B$83:$C$101,2,FALSE)</f>
        <v>63.319037388501449</v>
      </c>
      <c r="U161" s="31">
        <f ca="1">VLOOKUP($A161,$126:$144,U$147+1,FALSE)/VLOOKUP($A161,'Assumption Table'!$B$83:$C$101,2,FALSE)</f>
        <v>59.284832010443814</v>
      </c>
      <c r="V161" s="31">
        <f ca="1">VLOOKUP($A161,$126:$144,V$147+1,FALSE)/VLOOKUP($A161,'Assumption Table'!$B$83:$C$101,2,FALSE)</f>
        <v>96.308666173646628</v>
      </c>
      <c r="W161" s="31">
        <f ca="1">VLOOKUP($A161,$126:$144,W$147+1,FALSE)/VLOOKUP($A161,'Assumption Table'!$B$83:$C$101,2,FALSE)</f>
        <v>107.99680537330701</v>
      </c>
      <c r="X161" s="31">
        <f ca="1">VLOOKUP($A161,$126:$144,X$147+1,FALSE)/VLOOKUP($A161,'Assumption Table'!$B$83:$C$101,2,FALSE)</f>
        <v>101.06278647393286</v>
      </c>
      <c r="Y161" s="31">
        <f ca="1">VLOOKUP($A161,$126:$144,Y$147+1,FALSE)/VLOOKUP($A161,'Assumption Table'!$B$83:$C$101,2,FALSE)</f>
        <v>72.252065837817142</v>
      </c>
      <c r="Z161" s="31">
        <f ca="1">VLOOKUP($A161,$126:$144,Z$147+1,FALSE)/VLOOKUP($A161,'Assumption Table'!$B$83:$C$101,2,FALSE)</f>
        <v>143.30492193910686</v>
      </c>
      <c r="AA161" s="31">
        <f ca="1">VLOOKUP($A161,$126:$144,AA$147+1,FALSE)/VLOOKUP($A161,'Assumption Table'!$B$83:$C$101,2,FALSE)</f>
        <v>111.56011645001209</v>
      </c>
      <c r="AB161" s="31">
        <f ca="1">VLOOKUP($A161,$126:$144,AB$147+1,FALSE)/VLOOKUP($A161,'Assumption Table'!$B$83:$C$101,2,FALSE)</f>
        <v>100.52185850839147</v>
      </c>
      <c r="AC161" s="31">
        <f ca="1">VLOOKUP($A161,$126:$144,AC$147+1,FALSE)/VLOOKUP($A161,'Assumption Table'!$B$83:$C$101,2,FALSE)</f>
        <v>154.77062910691365</v>
      </c>
      <c r="AD161" s="31">
        <f ca="1">VLOOKUP($A161,$126:$144,AD$147+1,FALSE)/VLOOKUP($A161,'Assumption Table'!$B$83:$C$101,2,FALSE)</f>
        <v>96.886679274685974</v>
      </c>
      <c r="AE161" s="31">
        <f ca="1">VLOOKUP($A161,$126:$144,AE$147+1,FALSE)/VLOOKUP($A161,'Assumption Table'!$B$83:$C$101,2,FALSE)</f>
        <v>169.86396708942803</v>
      </c>
      <c r="AF161" s="31">
        <f ca="1">VLOOKUP($A161,$126:$144,AF$147+1,FALSE)/VLOOKUP($A161,'Assumption Table'!$B$83:$C$101,2,FALSE)</f>
        <v>109.99109263047895</v>
      </c>
      <c r="AG161" s="31">
        <f ca="1">VLOOKUP($A161,$126:$144,AG$147+1,FALSE)/VLOOKUP($A161,'Assumption Table'!$B$83:$C$101,2,FALSE)</f>
        <v>73.979503148682099</v>
      </c>
      <c r="AH161" s="31">
        <f ca="1">VLOOKUP($A161,$126:$144,AH$147+1,FALSE)/VLOOKUP($A161,'Assumption Table'!$B$83:$C$101,2,FALSE)</f>
        <v>87.353850442706374</v>
      </c>
      <c r="AI161" s="31">
        <f ca="1">VLOOKUP($A161,$126:$144,AI$147+1,FALSE)/VLOOKUP($A161,'Assumption Table'!$B$83:$C$101,2,FALSE)</f>
        <v>125.16469185899241</v>
      </c>
      <c r="AJ161" s="31">
        <f ca="1">VLOOKUP($A161,$126:$144,AJ$147+1,FALSE)/VLOOKUP($A161,'Assumption Table'!$B$83:$C$101,2,FALSE)</f>
        <v>263.62464737245853</v>
      </c>
      <c r="AK161" s="31">
        <f ca="1">VLOOKUP($A161,$126:$144,AK$147+1,FALSE)/VLOOKUP($A161,'Assumption Table'!$B$83:$C$101,2,FALSE)</f>
        <v>136.04835972564794</v>
      </c>
      <c r="AL161" s="31">
        <f ca="1">VLOOKUP($A161,$126:$144,AL$147+1,FALSE)/VLOOKUP($A161,'Assumption Table'!$B$83:$C$101,2,FALSE)</f>
        <v>213.69565724395039</v>
      </c>
      <c r="AM161" s="31">
        <f ca="1">VLOOKUP($A161,$126:$144,AM$147+1,FALSE)/VLOOKUP($A161,'Assumption Table'!$B$83:$C$101,2,FALSE)</f>
        <v>232.12598701491476</v>
      </c>
      <c r="AN161" s="31">
        <f ca="1">VLOOKUP($A161,$126:$144,AN$147+1,FALSE)/VLOOKUP($A161,'Assumption Table'!$B$83:$C$101,2,FALSE)</f>
        <v>184.42395700173816</v>
      </c>
      <c r="AO161" s="31">
        <f ca="1">VLOOKUP($A161,$126:$144,AO$147+1,FALSE)/VLOOKUP($A161,'Assumption Table'!$B$83:$C$101,2,FALSE)</f>
        <v>88.194006649486923</v>
      </c>
      <c r="AP161" s="31">
        <f ca="1">VLOOKUP($A161,$126:$144,AP$147+1,FALSE)/VLOOKUP($A161,'Assumption Table'!$B$83:$C$101,2,FALSE)</f>
        <v>109.75284603679266</v>
      </c>
      <c r="AQ161" s="31">
        <f ca="1">VLOOKUP($A161,$126:$144,AQ$147+1,FALSE)/VLOOKUP($A161,'Assumption Table'!$B$83:$C$101,2,FALSE)</f>
        <v>163.34494142499472</v>
      </c>
      <c r="AR161" s="31">
        <f ca="1">VLOOKUP($A161,$126:$144,AR$147+1,FALSE)/VLOOKUP($A161,'Assumption Table'!$B$83:$C$101,2,FALSE)</f>
        <v>101.6182385575994</v>
      </c>
      <c r="AS161" s="31">
        <f ca="1">VLOOKUP($A161,$126:$144,AS$147+1,FALSE)/VLOOKUP($A161,'Assumption Table'!$B$83:$C$101,2,FALSE)</f>
        <v>230.91601800033931</v>
      </c>
      <c r="AT161" s="31">
        <f ca="1">VLOOKUP($A161,$126:$144,AT$147+1,FALSE)/VLOOKUP($A161,'Assumption Table'!$B$83:$C$101,2,FALSE)</f>
        <v>236.92540104687311</v>
      </c>
      <c r="AU161" s="31">
        <f ca="1">VLOOKUP($A161,$126:$144,AU$147+1,FALSE)/VLOOKUP($A161,'Assumption Table'!$B$83:$C$101,2,FALSE)</f>
        <v>214.25811281216653</v>
      </c>
      <c r="AV161" s="31">
        <f ca="1">VLOOKUP($A161,$126:$144,AV$147+1,FALSE)/VLOOKUP($A161,'Assumption Table'!$B$83:$C$101,2,FALSE)</f>
        <v>235.07260846843053</v>
      </c>
      <c r="AW161" s="31">
        <f ca="1">VLOOKUP($A161,$126:$144,AW$147+1,FALSE)/VLOOKUP($A161,'Assumption Table'!$B$83:$C$101,2,FALSE)</f>
        <v>259.81767317764462</v>
      </c>
      <c r="AX161" s="31">
        <f ca="1">VLOOKUP($A161,$126:$144,AX$147+1,FALSE)/VLOOKUP($A161,'Assumption Table'!$B$83:$C$101,2,FALSE)</f>
        <v>232.50585495419151</v>
      </c>
      <c r="AY161" s="31">
        <f ca="1">VLOOKUP($A161,$126:$144,AY$147+1,FALSE)/VLOOKUP($A161,'Assumption Table'!$B$83:$C$101,2,FALSE)</f>
        <v>185.32587924026484</v>
      </c>
      <c r="AZ161" s="31">
        <f ca="1">VLOOKUP($A161,$126:$144,AZ$147+1,FALSE)/VLOOKUP($A161,'Assumption Table'!$B$83:$C$101,2,FALSE)</f>
        <v>261.98988741158433</v>
      </c>
      <c r="BA161" s="31">
        <f ca="1">VLOOKUP($A161,$126:$144,BA$147+1,FALSE)/VLOOKUP($A161,'Assumption Table'!$B$83:$C$101,2,FALSE)</f>
        <v>167.8458184350836</v>
      </c>
      <c r="BB161" s="31">
        <f ca="1">VLOOKUP($A161,$126:$144,BB$147+1,FALSE)/VLOOKUP($A161,'Assumption Table'!$B$83:$C$101,2,FALSE)</f>
        <v>230.72484719111159</v>
      </c>
      <c r="BC161" s="31">
        <f ca="1">VLOOKUP($A161,$126:$144,BC$147+1,FALSE)/VLOOKUP($A161,'Assumption Table'!$B$83:$C$101,2,FALSE)</f>
        <v>333.51399169559602</v>
      </c>
      <c r="BD161" s="31">
        <f ca="1">VLOOKUP($A161,$126:$144,BD$147+1,FALSE)/VLOOKUP($A161,'Assumption Table'!$B$83:$C$101,2,FALSE)</f>
        <v>333.31649204464276</v>
      </c>
      <c r="BE161" s="31">
        <f ca="1">VLOOKUP($A161,$126:$144,BE$147+1,FALSE)/VLOOKUP($A161,'Assumption Table'!$B$83:$C$101,2,FALSE)</f>
        <v>443.64883738670665</v>
      </c>
      <c r="BF161" s="31">
        <f ca="1">VLOOKUP($A161,$126:$144,BF$147+1,FALSE)/VLOOKUP($A161,'Assumption Table'!$B$83:$C$101,2,FALSE)</f>
        <v>442.35788767936066</v>
      </c>
      <c r="BG161" s="31">
        <f ca="1">VLOOKUP($A161,$126:$144,BG$147+1,FALSE)/VLOOKUP($A161,'Assumption Table'!$B$83:$C$101,2,FALSE)</f>
        <v>398.86529925329069</v>
      </c>
      <c r="BH161" s="31">
        <f ca="1">VLOOKUP($A161,$126:$144,BH$147+1,FALSE)/VLOOKUP($A161,'Assumption Table'!$B$83:$C$101,2,FALSE)</f>
        <v>232.54884012508393</v>
      </c>
      <c r="BI161" s="107">
        <f ca="1">VLOOKUP($A161,$126:$144,BI$147+1,FALSE)/VLOOKUP($A161,'Assumption Table'!$B$83:$C$101,2,FALSE)</f>
        <v>398.44901072650634</v>
      </c>
      <c r="BJ161" s="10" t="str">
        <f t="shared" si="75"/>
        <v>Patents and Trademarks</v>
      </c>
      <c r="BK161" s="115">
        <f ca="1">SUMIFS($B161:$BI161,$B$4:$BI$4,"&lt;=12")</f>
        <v>277.57616920308607</v>
      </c>
      <c r="BL161" s="115">
        <f ca="1">SUMIFS($B161:$BI161,$B$4:$BI$4,"&lt;=24",$B$4:$BI$4,"&gt;12")</f>
        <v>896.03627911008539</v>
      </c>
      <c r="BM161" s="115">
        <f ca="1">SUMIFS($B161:$BI161,$B$4:$BI$4,"&lt;=36",$B$4:$BI$4,"&gt;24")</f>
        <v>1573.0703175475046</v>
      </c>
      <c r="BN161" s="115">
        <f ca="1">SUMIFS($B161:$BI161,$B$4:$BI$4,"&lt;=48",$B$4:$BI$4,"&gt;36")</f>
        <v>2270.1454474349312</v>
      </c>
      <c r="BO161" s="115">
        <f ca="1">SUMIFS($B161:$BI161,$B$4:$BI$4,"&lt;=60",$B$4:$BI$4,"&gt;48")</f>
        <v>3661.0926461434233</v>
      </c>
    </row>
    <row r="162" spans="1:67" ht="13.4" customHeight="1">
      <c r="A162" s="98" t="s">
        <v>96</v>
      </c>
      <c r="B162" s="31">
        <f ca="1">VLOOKUP($A162,$126:$144,B$147+1,FALSE)/VLOOKUP($A162,'Assumption Table'!$B$83:$C$101,2,FALSE)</f>
        <v>30.347605182680262</v>
      </c>
      <c r="C162" s="31">
        <f ca="1">VLOOKUP($A162,$126:$144,C$147+1,FALSE)/VLOOKUP($A162,'Assumption Table'!$B$83:$C$101,2,FALSE)</f>
        <v>58.391195675314485</v>
      </c>
      <c r="D162" s="31">
        <f ca="1">VLOOKUP($A162,$126:$144,D$147+1,FALSE)/VLOOKUP($A162,'Assumption Table'!$B$83:$C$101,2,FALSE)</f>
        <v>114.03548842142848</v>
      </c>
      <c r="E162" s="31">
        <f ca="1">VLOOKUP($A162,$126:$144,E$147+1,FALSE)/VLOOKUP($A162,'Assumption Table'!$B$83:$C$101,2,FALSE)</f>
        <v>79.456307919094868</v>
      </c>
      <c r="F162" s="31">
        <f ca="1">VLOOKUP($A162,$126:$144,F$147+1,FALSE)/VLOOKUP($A162,'Assumption Table'!$B$83:$C$101,2,FALSE)</f>
        <v>107.25735309880243</v>
      </c>
      <c r="G162" s="31">
        <f ca="1">VLOOKUP($A162,$126:$144,G$147+1,FALSE)/VLOOKUP($A162,'Assumption Table'!$B$83:$C$101,2,FALSE)</f>
        <v>184.07137290675661</v>
      </c>
      <c r="H162" s="31">
        <f ca="1">VLOOKUP($A162,$126:$144,H$147+1,FALSE)/VLOOKUP($A162,'Assumption Table'!$B$83:$C$101,2,FALSE)</f>
        <v>176.61409665006829</v>
      </c>
      <c r="I162" s="31">
        <f ca="1">VLOOKUP($A162,$126:$144,I$147+1,FALSE)/VLOOKUP($A162,'Assumption Table'!$B$83:$C$101,2,FALSE)</f>
        <v>247.55347061378441</v>
      </c>
      <c r="J162" s="31">
        <f ca="1">VLOOKUP($A162,$126:$144,J$147+1,FALSE)/VLOOKUP($A162,'Assumption Table'!$B$83:$C$101,2,FALSE)</f>
        <v>312.40910107363646</v>
      </c>
      <c r="K162" s="31">
        <f ca="1">VLOOKUP($A162,$126:$144,K$147+1,FALSE)/VLOOKUP($A162,'Assumption Table'!$B$83:$C$101,2,FALSE)</f>
        <v>309.33435360356657</v>
      </c>
      <c r="L162" s="31">
        <f ca="1">VLOOKUP($A162,$126:$144,L$147+1,FALSE)/VLOOKUP($A162,'Assumption Table'!$B$83:$C$101,2,FALSE)</f>
        <v>362.294067473832</v>
      </c>
      <c r="M162" s="31">
        <f ca="1">VLOOKUP($A162,$126:$144,M$147+1,FALSE)/VLOOKUP($A162,'Assumption Table'!$B$83:$C$101,2,FALSE)</f>
        <v>230.61561061829633</v>
      </c>
      <c r="N162" s="31">
        <f ca="1">VLOOKUP($A162,$126:$144,N$147+1,FALSE)/VLOOKUP($A162,'Assumption Table'!$B$83:$C$101,2,FALSE)</f>
        <v>490.48179776901367</v>
      </c>
      <c r="O162" s="31">
        <f ca="1">VLOOKUP($A162,$126:$144,O$147+1,FALSE)/VLOOKUP($A162,'Assumption Table'!$B$83:$C$101,2,FALSE)</f>
        <v>483.6648735621693</v>
      </c>
      <c r="P162" s="31">
        <f ca="1">VLOOKUP($A162,$126:$144,P$147+1,FALSE)/VLOOKUP($A162,'Assumption Table'!$B$83:$C$101,2,FALSE)</f>
        <v>597.94356538212094</v>
      </c>
      <c r="Q162" s="31">
        <f ca="1">VLOOKUP($A162,$126:$144,Q$147+1,FALSE)/VLOOKUP($A162,'Assumption Table'!$B$83:$C$101,2,FALSE)</f>
        <v>514.88865682339394</v>
      </c>
      <c r="R162" s="31">
        <f ca="1">VLOOKUP($A162,$126:$144,R$147+1,FALSE)/VLOOKUP($A162,'Assumption Table'!$B$83:$C$101,2,FALSE)</f>
        <v>585.760158257223</v>
      </c>
      <c r="S162" s="31">
        <f ca="1">VLOOKUP($A162,$126:$144,S$147+1,FALSE)/VLOOKUP($A162,'Assumption Table'!$B$83:$C$101,2,FALSE)</f>
        <v>481.706671444422</v>
      </c>
      <c r="T162" s="31">
        <f ca="1">VLOOKUP($A162,$126:$144,T$147+1,FALSE)/VLOOKUP($A162,'Assumption Table'!$B$83:$C$101,2,FALSE)</f>
        <v>504.55532035780874</v>
      </c>
      <c r="U162" s="31">
        <f ca="1">VLOOKUP($A162,$126:$144,U$147+1,FALSE)/VLOOKUP($A162,'Assumption Table'!$B$83:$C$101,2,FALSE)</f>
        <v>472.18466299351883</v>
      </c>
      <c r="V162" s="31">
        <f ca="1">VLOOKUP($A162,$126:$144,V$147+1,FALSE)/VLOOKUP($A162,'Assumption Table'!$B$83:$C$101,2,FALSE)</f>
        <v>768.51061826457521</v>
      </c>
      <c r="W162" s="31">
        <f ca="1">VLOOKUP($A162,$126:$144,W$147+1,FALSE)/VLOOKUP($A162,'Assumption Table'!$B$83:$C$101,2,FALSE)</f>
        <v>860.78047670670617</v>
      </c>
      <c r="X162" s="31">
        <f ca="1">VLOOKUP($A162,$126:$144,X$147+1,FALSE)/VLOOKUP($A162,'Assumption Table'!$B$83:$C$101,2,FALSE)</f>
        <v>804.9290146646839</v>
      </c>
      <c r="Y162" s="31">
        <f ca="1">VLOOKUP($A162,$126:$144,Y$147+1,FALSE)/VLOOKUP($A162,'Assumption Table'!$B$83:$C$101,2,FALSE)</f>
        <v>574.67754446279594</v>
      </c>
      <c r="Z162" s="31">
        <f ca="1">VLOOKUP($A162,$126:$144,Z$147+1,FALSE)/VLOOKUP($A162,'Assumption Table'!$B$83:$C$101,2,FALSE)</f>
        <v>1144.058798170259</v>
      </c>
      <c r="AA162" s="31">
        <f ca="1">VLOOKUP($A162,$126:$144,AA$147+1,FALSE)/VLOOKUP($A162,'Assumption Table'!$B$83:$C$101,2,FALSE)</f>
        <v>887.72393901331475</v>
      </c>
      <c r="AB162" s="31">
        <f ca="1">VLOOKUP($A162,$126:$144,AB$147+1,FALSE)/VLOOKUP($A162,'Assumption Table'!$B$83:$C$101,2,FALSE)</f>
        <v>800.49583912368792</v>
      </c>
      <c r="AC162" s="31">
        <f ca="1">VLOOKUP($A162,$126:$144,AC$147+1,FALSE)/VLOOKUP($A162,'Assumption Table'!$B$83:$C$101,2,FALSE)</f>
        <v>1234.8449628128915</v>
      </c>
      <c r="AD162" s="31">
        <f ca="1">VLOOKUP($A162,$126:$144,AD$147+1,FALSE)/VLOOKUP($A162,'Assumption Table'!$B$83:$C$101,2,FALSE)</f>
        <v>769.96208047761093</v>
      </c>
      <c r="AE162" s="31">
        <f ca="1">VLOOKUP($A162,$126:$144,AE$147+1,FALSE)/VLOOKUP($A162,'Assumption Table'!$B$83:$C$101,2,FALSE)</f>
        <v>1355.7249420206001</v>
      </c>
      <c r="AF162" s="31">
        <f ca="1">VLOOKUP($A162,$126:$144,AF$147+1,FALSE)/VLOOKUP($A162,'Assumption Table'!$B$83:$C$101,2,FALSE)</f>
        <v>874.29316542997401</v>
      </c>
      <c r="AG162" s="31">
        <f ca="1">VLOOKUP($A162,$126:$144,AG$147+1,FALSE)/VLOOKUP($A162,'Assumption Table'!$B$83:$C$101,2,FALSE)</f>
        <v>588.21661856522292</v>
      </c>
      <c r="AH162" s="31">
        <f ca="1">VLOOKUP($A162,$126:$144,AH$147+1,FALSE)/VLOOKUP($A162,'Assumption Table'!$B$83:$C$101,2,FALSE)</f>
        <v>696.39498182523027</v>
      </c>
      <c r="AI162" s="31">
        <f ca="1">VLOOKUP($A162,$126:$144,AI$147+1,FALSE)/VLOOKUP($A162,'Assumption Table'!$B$83:$C$101,2,FALSE)</f>
        <v>998.4260383714859</v>
      </c>
      <c r="AJ162" s="31">
        <f ca="1">VLOOKUP($A162,$126:$144,AJ$147+1,FALSE)/VLOOKUP($A162,'Assumption Table'!$B$83:$C$101,2,FALSE)</f>
        <v>2104.849118388539</v>
      </c>
      <c r="AK162" s="31">
        <f ca="1">VLOOKUP($A162,$126:$144,AK$147+1,FALSE)/VLOOKUP($A162,'Assumption Table'!$B$83:$C$101,2,FALSE)</f>
        <v>1079.6339567310276</v>
      </c>
      <c r="AL162" s="31">
        <f ca="1">VLOOKUP($A162,$126:$144,AL$147+1,FALSE)/VLOOKUP($A162,'Assumption Table'!$B$83:$C$101,2,FALSE)</f>
        <v>1705.1032536363662</v>
      </c>
      <c r="AM162" s="31">
        <f ca="1">VLOOKUP($A162,$126:$144,AM$147+1,FALSE)/VLOOKUP($A162,'Assumption Table'!$B$83:$C$101,2,FALSE)</f>
        <v>1849.9218909138135</v>
      </c>
      <c r="AN162" s="31">
        <f ca="1">VLOOKUP($A162,$126:$144,AN$147+1,FALSE)/VLOOKUP($A162,'Assumption Table'!$B$83:$C$101,2,FALSE)</f>
        <v>1467.7131731567874</v>
      </c>
      <c r="AO162" s="31">
        <f ca="1">VLOOKUP($A162,$126:$144,AO$147+1,FALSE)/VLOOKUP($A162,'Assumption Table'!$B$83:$C$101,2,FALSE)</f>
        <v>699.46857531964667</v>
      </c>
      <c r="AP162" s="31">
        <f ca="1">VLOOKUP($A162,$126:$144,AP$147+1,FALSE)/VLOOKUP($A162,'Assumption Table'!$B$83:$C$101,2,FALSE)</f>
        <v>875.13366372166047</v>
      </c>
      <c r="AQ162" s="31">
        <f ca="1">VLOOKUP($A162,$126:$144,AQ$147+1,FALSE)/VLOOKUP($A162,'Assumption Table'!$B$83:$C$101,2,FALSE)</f>
        <v>1303.1251790701701</v>
      </c>
      <c r="AR162" s="31">
        <f ca="1">VLOOKUP($A162,$126:$144,AR$147+1,FALSE)/VLOOKUP($A162,'Assumption Table'!$B$83:$C$101,2,FALSE)</f>
        <v>807.53136334937699</v>
      </c>
      <c r="AS162" s="31">
        <f ca="1">VLOOKUP($A162,$126:$144,AS$147+1,FALSE)/VLOOKUP($A162,'Assumption Table'!$B$83:$C$101,2,FALSE)</f>
        <v>1843.9859905933897</v>
      </c>
      <c r="AT162" s="31">
        <f ca="1">VLOOKUP($A162,$126:$144,AT$147+1,FALSE)/VLOOKUP($A162,'Assumption Table'!$B$83:$C$101,2,FALSE)</f>
        <v>1887.7338590533845</v>
      </c>
      <c r="AU162" s="31">
        <f ca="1">VLOOKUP($A162,$126:$144,AU$147+1,FALSE)/VLOOKUP($A162,'Assumption Table'!$B$83:$C$101,2,FALSE)</f>
        <v>1706.2313003734498</v>
      </c>
      <c r="AV162" s="31">
        <f ca="1">VLOOKUP($A162,$126:$144,AV$147+1,FALSE)/VLOOKUP($A162,'Assumption Table'!$B$83:$C$101,2,FALSE)</f>
        <v>1873.5042106714043</v>
      </c>
      <c r="AW162" s="31">
        <f ca="1">VLOOKUP($A162,$126:$144,AW$147+1,FALSE)/VLOOKUP($A162,'Assumption Table'!$B$83:$C$101,2,FALSE)</f>
        <v>2070.7646039478427</v>
      </c>
      <c r="AX162" s="31">
        <f ca="1">VLOOKUP($A162,$126:$144,AX$147+1,FALSE)/VLOOKUP($A162,'Assumption Table'!$B$83:$C$101,2,FALSE)</f>
        <v>1851.4510570398884</v>
      </c>
      <c r="AY162" s="31">
        <f ca="1">VLOOKUP($A162,$126:$144,AY$147+1,FALSE)/VLOOKUP($A162,'Assumption Table'!$B$83:$C$101,2,FALSE)</f>
        <v>1474.9284702785926</v>
      </c>
      <c r="AZ162" s="31">
        <f ca="1">VLOOKUP($A162,$126:$144,AZ$147+1,FALSE)/VLOOKUP($A162,'Assumption Table'!$B$83:$C$101,2,FALSE)</f>
        <v>2089.8055580150281</v>
      </c>
      <c r="BA162" s="31">
        <f ca="1">VLOOKUP($A162,$126:$144,BA$147+1,FALSE)/VLOOKUP($A162,'Assumption Table'!$B$83:$C$101,2,FALSE)</f>
        <v>1334.0844974109298</v>
      </c>
      <c r="BB162" s="31">
        <f ca="1">VLOOKUP($A162,$126:$144,BB$147+1,FALSE)/VLOOKUP($A162,'Assumption Table'!$B$83:$C$101,2,FALSE)</f>
        <v>1840.2762673316379</v>
      </c>
      <c r="BC162" s="31">
        <f ca="1">VLOOKUP($A162,$126:$144,BC$147+1,FALSE)/VLOOKUP($A162,'Assumption Table'!$B$83:$C$101,2,FALSE)</f>
        <v>2660.4671262433753</v>
      </c>
      <c r="BD162" s="31">
        <f ca="1">VLOOKUP($A162,$126:$144,BD$147+1,FALSE)/VLOOKUP($A162,'Assumption Table'!$B$83:$C$101,2,FALSE)</f>
        <v>2655.4785100283002</v>
      </c>
      <c r="BE162" s="31">
        <f ca="1">VLOOKUP($A162,$126:$144,BE$147+1,FALSE)/VLOOKUP($A162,'Assumption Table'!$B$83:$C$101,2,FALSE)</f>
        <v>3538.1722612449057</v>
      </c>
      <c r="BF162" s="31">
        <f ca="1">VLOOKUP($A162,$126:$144,BF$147+1,FALSE)/VLOOKUP($A162,'Assumption Table'!$B$83:$C$101,2,FALSE)</f>
        <v>3524.1666271707345</v>
      </c>
      <c r="BG162" s="31">
        <f ca="1">VLOOKUP($A162,$126:$144,BG$147+1,FALSE)/VLOOKUP($A162,'Assumption Table'!$B$83:$C$101,2,FALSE)</f>
        <v>3176.2996017225478</v>
      </c>
      <c r="BH162" s="31">
        <f ca="1">VLOOKUP($A162,$126:$144,BH$147+1,FALSE)/VLOOKUP($A162,'Assumption Table'!$B$83:$C$101,2,FALSE)</f>
        <v>1847.2170676280932</v>
      </c>
      <c r="BI162" s="107">
        <f ca="1">VLOOKUP($A162,$126:$144,BI$147+1,FALSE)/VLOOKUP($A162,'Assumption Table'!$B$83:$C$101,2,FALSE)</f>
        <v>3179.9502382526525</v>
      </c>
      <c r="BJ162" s="10" t="str">
        <f t="shared" si="75"/>
        <v>Proprietary Technology</v>
      </c>
      <c r="BK162" s="115">
        <f ca="1">SUMIFS($B162:$BI162,$B$4:$BI$4,"&lt;=12")</f>
        <v>2212.380023237261</v>
      </c>
      <c r="BL162" s="115">
        <f ca="1">SUMIFS($B162:$BI162,$B$4:$BI$4,"&lt;=24",$B$4:$BI$4,"&gt;12")</f>
        <v>7140.0833606884307</v>
      </c>
      <c r="BM162" s="115">
        <f ca="1">SUMIFS($B162:$BI162,$B$4:$BI$4,"&lt;=36",$B$4:$BI$4,"&gt;24")</f>
        <v>12534.624440929845</v>
      </c>
      <c r="BN162" s="115">
        <f ca="1">SUMIFS($B162:$BI162,$B$4:$BI$4,"&lt;=48",$B$4:$BI$4,"&gt;36")</f>
        <v>18090.217063807293</v>
      </c>
      <c r="BO162" s="115">
        <f ca="1">SUMIFS($B162:$BI162,$B$4:$BI$4,"&lt;=60",$B$4:$BI$4,"&gt;48")</f>
        <v>29172.297282366686</v>
      </c>
    </row>
    <row r="163" spans="1:67" ht="13.4" customHeight="1">
      <c r="A163" s="5" t="s">
        <v>97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13"/>
      <c r="BJ163" s="8" t="str">
        <f t="shared" si="75"/>
        <v>Cloud Services</v>
      </c>
      <c r="BK163" s="121"/>
      <c r="BL163" s="121"/>
      <c r="BM163" s="121"/>
      <c r="BN163" s="121"/>
      <c r="BO163" s="121"/>
    </row>
    <row r="164" spans="1:67" ht="13.4" customHeight="1">
      <c r="A164" s="98" t="s">
        <v>98</v>
      </c>
      <c r="B164" s="31">
        <f ca="1">VLOOKUP($A164,$126:$144,B$147+1,FALSE)/VLOOKUP($A164,'Assumption Table'!$B$83:$C$101,2,FALSE)</f>
        <v>91.042815548040792</v>
      </c>
      <c r="C164" s="31">
        <f ca="1">VLOOKUP($A164,$126:$144,C$147+1,FALSE)/VLOOKUP($A164,'Assumption Table'!$B$83:$C$101,2,FALSE)</f>
        <v>174.41489689637643</v>
      </c>
      <c r="D164" s="31">
        <f ca="1">VLOOKUP($A164,$126:$144,D$147+1,FALSE)/VLOOKUP($A164,'Assumption Table'!$B$83:$C$101,2,FALSE)</f>
        <v>340.65933020789532</v>
      </c>
      <c r="E164" s="31">
        <f ca="1">VLOOKUP($A164,$126:$144,E$147+1,FALSE)/VLOOKUP($A164,'Assumption Table'!$B$83:$C$101,2,FALSE)</f>
        <v>235.5421554643554</v>
      </c>
      <c r="F164" s="31">
        <f ca="1">VLOOKUP($A164,$126:$144,F$147+1,FALSE)/VLOOKUP($A164,'Assumption Table'!$B$83:$C$101,2,FALSE)</f>
        <v>319.83276440331207</v>
      </c>
      <c r="G164" s="31">
        <f ca="1">VLOOKUP($A164,$126:$144,G$147+1,FALSE)/VLOOKUP($A164,'Assumption Table'!$B$83:$C$101,2,FALSE)</f>
        <v>549.56500647435121</v>
      </c>
      <c r="H164" s="31">
        <f ca="1">VLOOKUP($A164,$126:$144,H$147+1,FALSE)/VLOOKUP($A164,'Assumption Table'!$B$83:$C$101,2,FALSE)</f>
        <v>525.28465749830127</v>
      </c>
      <c r="I164" s="31">
        <f ca="1">VLOOKUP($A164,$126:$144,I$147+1,FALSE)/VLOOKUP($A164,'Assumption Table'!$B$83:$C$101,2,FALSE)</f>
        <v>738.32101996596646</v>
      </c>
      <c r="J164" s="31">
        <f ca="1">VLOOKUP($A164,$126:$144,J$147+1,FALSE)/VLOOKUP($A164,'Assumption Table'!$B$83:$C$101,2,FALSE)</f>
        <v>931.11078965348793</v>
      </c>
      <c r="K164" s="31">
        <f ca="1">VLOOKUP($A164,$126:$144,K$147+1,FALSE)/VLOOKUP($A164,'Assumption Table'!$B$83:$C$101,2,FALSE)</f>
        <v>920.29477517664918</v>
      </c>
      <c r="L164" s="31">
        <f ca="1">VLOOKUP($A164,$126:$144,L$147+1,FALSE)/VLOOKUP($A164,'Assumption Table'!$B$83:$C$101,2,FALSE)</f>
        <v>1079.2773150086409</v>
      </c>
      <c r="M164" s="31">
        <f ca="1">VLOOKUP($A164,$126:$144,M$147+1,FALSE)/VLOOKUP($A164,'Assumption Table'!$B$83:$C$101,2,FALSE)</f>
        <v>682.91622829159076</v>
      </c>
      <c r="N164" s="31">
        <f ca="1">VLOOKUP($A164,$126:$144,N$147+1,FALSE)/VLOOKUP($A164,'Assumption Table'!$B$83:$C$101,2,FALSE)</f>
        <v>1465.8288464343052</v>
      </c>
      <c r="O164" s="31">
        <f ca="1">VLOOKUP($A164,$126:$144,O$147+1,FALSE)/VLOOKUP($A164,'Assumption Table'!$B$83:$C$101,2,FALSE)</f>
        <v>1438.8261848568281</v>
      </c>
      <c r="P164" s="31">
        <f ca="1">VLOOKUP($A164,$126:$144,P$147+1,FALSE)/VLOOKUP($A164,'Assumption Table'!$B$83:$C$101,2,FALSE)</f>
        <v>1781.9418815711369</v>
      </c>
      <c r="Q164" s="31">
        <f ca="1">VLOOKUP($A164,$126:$144,Q$147+1,FALSE)/VLOOKUP($A164,'Assumption Table'!$B$83:$C$101,2,FALSE)</f>
        <v>1529.9155282452157</v>
      </c>
      <c r="R164" s="31">
        <f ca="1">VLOOKUP($A164,$126:$144,R$147+1,FALSE)/VLOOKUP($A164,'Assumption Table'!$B$83:$C$101,2,FALSE)</f>
        <v>1744.6540990548338</v>
      </c>
      <c r="S164" s="31">
        <f ca="1">VLOOKUP($A164,$126:$144,S$147+1,FALSE)/VLOOKUP($A164,'Assumption Table'!$B$83:$C$101,2,FALSE)</f>
        <v>1430.686449972116</v>
      </c>
      <c r="T164" s="31">
        <f ca="1">VLOOKUP($A164,$126:$144,T$147+1,FALSE)/VLOOKUP($A164,'Assumption Table'!$B$83:$C$101,2,FALSE)</f>
        <v>1501.8638536933349</v>
      </c>
      <c r="U164" s="31">
        <f ca="1">VLOOKUP($A164,$126:$144,U$147+1,FALSE)/VLOOKUP($A164,'Assumption Table'!$B$83:$C$101,2,FALSE)</f>
        <v>1404.1368077612794</v>
      </c>
      <c r="V164" s="31">
        <f ca="1">VLOOKUP($A164,$126:$144,V$147+1,FALSE)/VLOOKUP($A164,'Assumption Table'!$B$83:$C$101,2,FALSE)</f>
        <v>2293.9341912392088</v>
      </c>
      <c r="W164" s="31">
        <f ca="1">VLOOKUP($A164,$126:$144,W$147+1,FALSE)/VLOOKUP($A164,'Assumption Table'!$B$83:$C$101,2,FALSE)</f>
        <v>2563.3219590560789</v>
      </c>
      <c r="X164" s="31">
        <f ca="1">VLOOKUP($A164,$126:$144,X$147+1,FALSE)/VLOOKUP($A164,'Assumption Table'!$B$83:$C$101,2,FALSE)</f>
        <v>2393.5845232607844</v>
      </c>
      <c r="Y164" s="31">
        <f ca="1">VLOOKUP($A164,$126:$144,Y$147+1,FALSE)/VLOOKUP($A164,'Assumption Table'!$B$83:$C$101,2,FALSE)</f>
        <v>1704.2627833673248</v>
      </c>
      <c r="Z164" s="31">
        <f ca="1">VLOOKUP($A164,$126:$144,Z$147+1,FALSE)/VLOOKUP($A164,'Assumption Table'!$B$83:$C$101,2,FALSE)</f>
        <v>3418.1389533995575</v>
      </c>
      <c r="AA164" s="31">
        <f ca="1">VLOOKUP($A164,$126:$144,AA$147+1,FALSE)/VLOOKUP($A164,'Assumption Table'!$B$83:$C$101,2,FALSE)</f>
        <v>2634.8043044375418</v>
      </c>
      <c r="AB164" s="31">
        <f ca="1">VLOOKUP($A164,$126:$144,AB$147+1,FALSE)/VLOOKUP($A164,'Assumption Table'!$B$83:$C$101,2,FALSE)</f>
        <v>2379.7672107724375</v>
      </c>
      <c r="AC164" s="31">
        <f ca="1">VLOOKUP($A164,$126:$144,AC$147+1,FALSE)/VLOOKUP($A164,'Assumption Table'!$B$83:$C$101,2,FALSE)</f>
        <v>3684.8844975705597</v>
      </c>
      <c r="AD164" s="31">
        <f ca="1">VLOOKUP($A164,$126:$144,AD$147+1,FALSE)/VLOOKUP($A164,'Assumption Table'!$B$83:$C$101,2,FALSE)</f>
        <v>2279.342623876978</v>
      </c>
      <c r="AE164" s="31">
        <f ca="1">VLOOKUP($A164,$126:$144,AE$147+1,FALSE)/VLOOKUP($A164,'Assumption Table'!$B$83:$C$101,2,FALSE)</f>
        <v>4048.4348343424576</v>
      </c>
      <c r="AF164" s="31">
        <f ca="1">VLOOKUP($A164,$126:$144,AF$147+1,FALSE)/VLOOKUP($A164,'Assumption Table'!$B$83:$C$101,2,FALSE)</f>
        <v>2589.2987059347292</v>
      </c>
      <c r="AG164" s="31">
        <f ca="1">VLOOKUP($A164,$126:$144,AG$147+1,FALSE)/VLOOKUP($A164,'Assumption Table'!$B$83:$C$101,2,FALSE)</f>
        <v>1743.3522063991727</v>
      </c>
      <c r="AH164" s="31">
        <f ca="1">VLOOKUP($A164,$126:$144,AH$147+1,FALSE)/VLOOKUP($A164,'Assumption Table'!$B$83:$C$101,2,FALSE)</f>
        <v>2074.8344908331683</v>
      </c>
      <c r="AI164" s="31">
        <f ca="1">VLOOKUP($A164,$126:$144,AI$147+1,FALSE)/VLOOKUP($A164,'Assumption Table'!$B$83:$C$101,2,FALSE)</f>
        <v>2978.1074148128687</v>
      </c>
      <c r="AJ164" s="31">
        <f ca="1">VLOOKUP($A164,$126:$144,AJ$147+1,FALSE)/VLOOKUP($A164,'Assumption Table'!$B$83:$C$101,2,FALSE)</f>
        <v>6289.8728825446888</v>
      </c>
      <c r="AK164" s="31">
        <f ca="1">VLOOKUP($A164,$126:$144,AK$147+1,FALSE)/VLOOKUP($A164,'Assumption Table'!$B$83:$C$101,2,FALSE)</f>
        <v>3186.6918834437188</v>
      </c>
      <c r="AL164" s="31">
        <f ca="1">VLOOKUP($A164,$126:$144,AL$147+1,FALSE)/VLOOKUP($A164,'Assumption Table'!$B$83:$C$101,2,FALSE)</f>
        <v>5089.1890784366451</v>
      </c>
      <c r="AM164" s="31">
        <f ca="1">VLOOKUP($A164,$126:$144,AM$147+1,FALSE)/VLOOKUP($A164,'Assumption Table'!$B$83:$C$101,2,FALSE)</f>
        <v>5507.5734361084051</v>
      </c>
      <c r="AN164" s="31">
        <f ca="1">VLOOKUP($A164,$126:$144,AN$147+1,FALSE)/VLOOKUP($A164,'Assumption Table'!$B$83:$C$101,2,FALSE)</f>
        <v>4357.5946761413998</v>
      </c>
      <c r="AO164" s="31">
        <f ca="1">VLOOKUP($A164,$126:$144,AO$147+1,FALSE)/VLOOKUP($A164,'Assumption Table'!$B$83:$C$101,2,FALSE)</f>
        <v>2062.4719773521697</v>
      </c>
      <c r="AP164" s="31">
        <f ca="1">VLOOKUP($A164,$126:$144,AP$147+1,FALSE)/VLOOKUP($A164,'Assumption Table'!$B$83:$C$101,2,FALSE)</f>
        <v>2608.5131725921028</v>
      </c>
      <c r="AQ164" s="31">
        <f ca="1">VLOOKUP($A164,$126:$144,AQ$147+1,FALSE)/VLOOKUP($A164,'Assumption Table'!$B$83:$C$101,2,FALSE)</f>
        <v>3887.7786592603507</v>
      </c>
      <c r="AR164" s="31">
        <f ca="1">VLOOKUP($A164,$126:$144,AR$147+1,FALSE)/VLOOKUP($A164,'Assumption Table'!$B$83:$C$101,2,FALSE)</f>
        <v>2390.375908537213</v>
      </c>
      <c r="AS164" s="31">
        <f ca="1">VLOOKUP($A164,$126:$144,AS$147+1,FALSE)/VLOOKUP($A164,'Assumption Table'!$B$83:$C$101,2,FALSE)</f>
        <v>5512.3066573882843</v>
      </c>
      <c r="AT164" s="31">
        <f ca="1">VLOOKUP($A164,$126:$144,AT$147+1,FALSE)/VLOOKUP($A164,'Assumption Table'!$B$83:$C$101,2,FALSE)</f>
        <v>5617.4294493018506</v>
      </c>
      <c r="AU164" s="31">
        <f ca="1">VLOOKUP($A164,$126:$144,AU$147+1,FALSE)/VLOOKUP($A164,'Assumption Table'!$B$83:$C$101,2,FALSE)</f>
        <v>5072.2634234416528</v>
      </c>
      <c r="AV164" s="31">
        <f ca="1">VLOOKUP($A164,$126:$144,AV$147+1,FALSE)/VLOOKUP($A164,'Assumption Table'!$B$83:$C$101,2,FALSE)</f>
        <v>5578.6306907995213</v>
      </c>
      <c r="AW164" s="31">
        <f ca="1">VLOOKUP($A164,$126:$144,AW$147+1,FALSE)/VLOOKUP($A164,'Assumption Table'!$B$83:$C$101,2,FALSE)</f>
        <v>6166.1542389303213</v>
      </c>
      <c r="AX164" s="31">
        <f ca="1">VLOOKUP($A164,$126:$144,AX$147+1,FALSE)/VLOOKUP($A164,'Assumption Table'!$B$83:$C$101,2,FALSE)</f>
        <v>5503.3530489028553</v>
      </c>
      <c r="AY164" s="31">
        <f ca="1">VLOOKUP($A164,$126:$144,AY$147+1,FALSE)/VLOOKUP($A164,'Assumption Table'!$B$83:$C$101,2,FALSE)</f>
        <v>4379.3491364467272</v>
      </c>
      <c r="AZ164" s="31">
        <f ca="1">VLOOKUP($A164,$126:$144,AZ$147+1,FALSE)/VLOOKUP($A164,'Assumption Table'!$B$83:$C$101,2,FALSE)</f>
        <v>6233.3007335279372</v>
      </c>
      <c r="BA164" s="31">
        <f ca="1">VLOOKUP($A164,$126:$144,BA$147+1,FALSE)/VLOOKUP($A164,'Assumption Table'!$B$83:$C$101,2,FALSE)</f>
        <v>3950.610285624366</v>
      </c>
      <c r="BB164" s="31">
        <f ca="1">VLOOKUP($A164,$126:$144,BB$147+1,FALSE)/VLOOKUP($A164,'Assumption Table'!$B$83:$C$101,2,FALSE)</f>
        <v>5488.3374096697808</v>
      </c>
      <c r="BC164" s="31">
        <f ca="1">VLOOKUP($A164,$126:$144,BC$147+1,FALSE)/VLOOKUP($A164,'Assumption Table'!$B$83:$C$101,2,FALSE)</f>
        <v>7935.9359952522527</v>
      </c>
      <c r="BD164" s="31">
        <f ca="1">VLOOKUP($A164,$126:$144,BD$147+1,FALSE)/VLOOKUP($A164,'Assumption Table'!$B$83:$C$101,2,FALSE)</f>
        <v>7900.6816083201138</v>
      </c>
      <c r="BE164" s="31">
        <f ca="1">VLOOKUP($A164,$126:$144,BE$147+1,FALSE)/VLOOKUP($A164,'Assumption Table'!$B$83:$C$101,2,FALSE)</f>
        <v>10549.225719680087</v>
      </c>
      <c r="BF164" s="31">
        <f ca="1">VLOOKUP($A164,$126:$144,BF$147+1,FALSE)/VLOOKUP($A164,'Assumption Table'!$B$83:$C$101,2,FALSE)</f>
        <v>10485.13375938199</v>
      </c>
      <c r="BG164" s="31">
        <f ca="1">VLOOKUP($A164,$126:$144,BG$147+1,FALSE)/VLOOKUP($A164,'Assumption Table'!$B$83:$C$101,2,FALSE)</f>
        <v>9442.2507415238779</v>
      </c>
      <c r="BH164" s="31">
        <f ca="1">VLOOKUP($A164,$126:$144,BH$147+1,FALSE)/VLOOKUP($A164,'Assumption Table'!$B$83:$C$101,2,FALSE)</f>
        <v>5463.6878472352782</v>
      </c>
      <c r="BI164" s="107">
        <f ca="1">VLOOKUP($A164,$126:$144,BI$147+1,FALSE)/VLOOKUP($A164,'Assumption Table'!$B$83:$C$101,2,FALSE)</f>
        <v>9494.9696773280721</v>
      </c>
      <c r="BJ164" s="10" t="str">
        <f t="shared" si="75"/>
        <v>Long-term Cloud Contracts</v>
      </c>
      <c r="BK164" s="115">
        <f ca="1">SUMIFS($B164:$BI164,$B$4:$BI$4,"&lt;=12")</f>
        <v>6588.2617545889689</v>
      </c>
      <c r="BL164" s="115">
        <f ca="1">SUMIFS($B164:$BI164,$B$4:$BI$4,"&lt;=24",$B$4:$BI$4,"&gt;12")</f>
        <v>21252.957108512448</v>
      </c>
      <c r="BM164" s="115">
        <f ca="1">SUMIFS($B164:$BI164,$B$4:$BI$4,"&lt;=36",$B$4:$BI$4,"&gt;24")</f>
        <v>37307.530008367874</v>
      </c>
      <c r="BN164" s="115">
        <f ca="1">SUMIFS($B164:$BI164,$B$4:$BI$4,"&lt;=48",$B$4:$BI$4,"&gt;36")</f>
        <v>53850.281368289921</v>
      </c>
      <c r="BO164" s="115">
        <f ca="1">SUMIFS($B164:$BI164,$B$4:$BI$4,"&lt;=60",$B$4:$BI$4,"&gt;48")</f>
        <v>86826.835962893339</v>
      </c>
    </row>
    <row r="165" spans="1:67" ht="13.4" customHeight="1">
      <c r="A165" s="5" t="s">
        <v>99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13"/>
      <c r="BJ165" s="8" t="str">
        <f t="shared" si="75"/>
        <v>Security</v>
      </c>
      <c r="BK165" s="121"/>
      <c r="BL165" s="121"/>
      <c r="BM165" s="121"/>
      <c r="BN165" s="121"/>
      <c r="BO165" s="121"/>
    </row>
    <row r="166" spans="1:67" ht="13.4" customHeight="1">
      <c r="A166" s="98" t="s">
        <v>100</v>
      </c>
      <c r="B166" s="31">
        <f ca="1">VLOOKUP($A166,$126:$144,B$147+1,FALSE)/VLOOKUP($A166,'Assumption Table'!$B$83:$C$101,2,FALSE)</f>
        <v>60.695210365360523</v>
      </c>
      <c r="C166" s="31">
        <f ca="1">VLOOKUP($A166,$126:$144,C$147+1,FALSE)/VLOOKUP($A166,'Assumption Table'!$B$83:$C$101,2,FALSE)</f>
        <v>116.27659793091763</v>
      </c>
      <c r="D166" s="31">
        <f ca="1">VLOOKUP($A166,$126:$144,D$147+1,FALSE)/VLOOKUP($A166,'Assumption Table'!$B$83:$C$101,2,FALSE)</f>
        <v>227.10622013859694</v>
      </c>
      <c r="E166" s="31">
        <f ca="1">VLOOKUP($A166,$126:$144,E$147+1,FALSE)/VLOOKUP($A166,'Assumption Table'!$B$83:$C$101,2,FALSE)</f>
        <v>157.0281036429036</v>
      </c>
      <c r="F166" s="31">
        <f ca="1">VLOOKUP($A166,$126:$144,F$147+1,FALSE)/VLOOKUP($A166,'Assumption Table'!$B$83:$C$101,2,FALSE)</f>
        <v>213.22184293554136</v>
      </c>
      <c r="G166" s="31">
        <f ca="1">VLOOKUP($A166,$126:$144,G$147+1,FALSE)/VLOOKUP($A166,'Assumption Table'!$B$83:$C$101,2,FALSE)</f>
        <v>366.37667098290086</v>
      </c>
      <c r="H166" s="31">
        <f ca="1">VLOOKUP($A166,$126:$144,H$147+1,FALSE)/VLOOKUP($A166,'Assumption Table'!$B$83:$C$101,2,FALSE)</f>
        <v>350.18977166553418</v>
      </c>
      <c r="I166" s="31">
        <f ca="1">VLOOKUP($A166,$126:$144,I$147+1,FALSE)/VLOOKUP($A166,'Assumption Table'!$B$83:$C$101,2,FALSE)</f>
        <v>492.21401331064436</v>
      </c>
      <c r="J166" s="31">
        <f ca="1">VLOOKUP($A166,$126:$144,J$147+1,FALSE)/VLOOKUP($A166,'Assumption Table'!$B$83:$C$101,2,FALSE)</f>
        <v>620.74052643565858</v>
      </c>
      <c r="K166" s="31">
        <f ca="1">VLOOKUP($A166,$126:$144,K$147+1,FALSE)/VLOOKUP($A166,'Assumption Table'!$B$83:$C$101,2,FALSE)</f>
        <v>613.52985011776616</v>
      </c>
      <c r="L166" s="31">
        <f ca="1">VLOOKUP($A166,$126:$144,L$147+1,FALSE)/VLOOKUP($A166,'Assumption Table'!$B$83:$C$101,2,FALSE)</f>
        <v>719.51821000576069</v>
      </c>
      <c r="M166" s="31">
        <f ca="1">VLOOKUP($A166,$126:$144,M$147+1,FALSE)/VLOOKUP($A166,'Assumption Table'!$B$83:$C$101,2,FALSE)</f>
        <v>455.27748552772721</v>
      </c>
      <c r="N166" s="31">
        <f ca="1">VLOOKUP($A166,$126:$144,N$147+1,FALSE)/VLOOKUP($A166,'Assumption Table'!$B$83:$C$101,2,FALSE)</f>
        <v>977.21923095620355</v>
      </c>
      <c r="O166" s="31">
        <f ca="1">VLOOKUP($A166,$126:$144,O$147+1,FALSE)/VLOOKUP($A166,'Assumption Table'!$B$83:$C$101,2,FALSE)</f>
        <v>959.2174565712188</v>
      </c>
      <c r="P166" s="31">
        <f ca="1">VLOOKUP($A166,$126:$144,P$147+1,FALSE)/VLOOKUP($A166,'Assumption Table'!$B$83:$C$101,2,FALSE)</f>
        <v>1187.9612543807577</v>
      </c>
      <c r="Q166" s="31">
        <f ca="1">VLOOKUP($A166,$126:$144,Q$147+1,FALSE)/VLOOKUP($A166,'Assumption Table'!$B$83:$C$101,2,FALSE)</f>
        <v>1019.9436854968104</v>
      </c>
      <c r="R166" s="31">
        <f ca="1">VLOOKUP($A166,$126:$144,R$147+1,FALSE)/VLOOKUP($A166,'Assumption Table'!$B$83:$C$101,2,FALSE)</f>
        <v>1163.1027327032227</v>
      </c>
      <c r="S166" s="31">
        <f ca="1">VLOOKUP($A166,$126:$144,S$147+1,FALSE)/VLOOKUP($A166,'Assumption Table'!$B$83:$C$101,2,FALSE)</f>
        <v>953.79096664807741</v>
      </c>
      <c r="T166" s="31">
        <f ca="1">VLOOKUP($A166,$126:$144,T$147+1,FALSE)/VLOOKUP($A166,'Assumption Table'!$B$83:$C$101,2,FALSE)</f>
        <v>1001.24256912889</v>
      </c>
      <c r="U166" s="31">
        <f ca="1">VLOOKUP($A166,$126:$144,U$147+1,FALSE)/VLOOKUP($A166,'Assumption Table'!$B$83:$C$101,2,FALSE)</f>
        <v>936.09120517418637</v>
      </c>
      <c r="V166" s="31">
        <f ca="1">VLOOKUP($A166,$126:$144,V$147+1,FALSE)/VLOOKUP($A166,'Assumption Table'!$B$83:$C$101,2,FALSE)</f>
        <v>1529.289460826139</v>
      </c>
      <c r="W166" s="31">
        <f ca="1">VLOOKUP($A166,$126:$144,W$147+1,FALSE)/VLOOKUP($A166,'Assumption Table'!$B$83:$C$101,2,FALSE)</f>
        <v>1708.8813060373861</v>
      </c>
      <c r="X166" s="31">
        <f ca="1">VLOOKUP($A166,$126:$144,X$147+1,FALSE)/VLOOKUP($A166,'Assumption Table'!$B$83:$C$101,2,FALSE)</f>
        <v>1595.7230155071898</v>
      </c>
      <c r="Y166" s="31">
        <f ca="1">VLOOKUP($A166,$126:$144,Y$147+1,FALSE)/VLOOKUP($A166,'Assumption Table'!$B$83:$C$101,2,FALSE)</f>
        <v>1136.1751889115501</v>
      </c>
      <c r="Z166" s="31">
        <f ca="1">VLOOKUP($A166,$126:$144,Z$147+1,FALSE)/VLOOKUP($A166,'Assumption Table'!$B$83:$C$101,2,FALSE)</f>
        <v>2278.7593022663718</v>
      </c>
      <c r="AA166" s="31">
        <f ca="1">VLOOKUP($A166,$126:$144,AA$147+1,FALSE)/VLOOKUP($A166,'Assumption Table'!$B$83:$C$101,2,FALSE)</f>
        <v>1756.5362029583607</v>
      </c>
      <c r="AB166" s="31">
        <f ca="1">VLOOKUP($A166,$126:$144,AB$147+1,FALSE)/VLOOKUP($A166,'Assumption Table'!$B$83:$C$101,2,FALSE)</f>
        <v>1586.5114738482916</v>
      </c>
      <c r="AC166" s="31">
        <f ca="1">VLOOKUP($A166,$126:$144,AC$147+1,FALSE)/VLOOKUP($A166,'Assumption Table'!$B$83:$C$101,2,FALSE)</f>
        <v>2456.5896650470399</v>
      </c>
      <c r="AD166" s="31">
        <f ca="1">VLOOKUP($A166,$126:$144,AD$147+1,FALSE)/VLOOKUP($A166,'Assumption Table'!$B$83:$C$101,2,FALSE)</f>
        <v>1519.5617492513193</v>
      </c>
      <c r="AE166" s="31">
        <f ca="1">VLOOKUP($A166,$126:$144,AE$147+1,FALSE)/VLOOKUP($A166,'Assumption Table'!$B$83:$C$101,2,FALSE)</f>
        <v>2698.9565562283051</v>
      </c>
      <c r="AF166" s="31">
        <f ca="1">VLOOKUP($A166,$126:$144,AF$147+1,FALSE)/VLOOKUP($A166,'Assumption Table'!$B$83:$C$101,2,FALSE)</f>
        <v>1726.1991372898196</v>
      </c>
      <c r="AG166" s="31">
        <f ca="1">VLOOKUP($A166,$126:$144,AG$147+1,FALSE)/VLOOKUP($A166,'Assumption Table'!$B$83:$C$101,2,FALSE)</f>
        <v>1162.2348042661151</v>
      </c>
      <c r="AH166" s="31">
        <f ca="1">VLOOKUP($A166,$126:$144,AH$147+1,FALSE)/VLOOKUP($A166,'Assumption Table'!$B$83:$C$101,2,FALSE)</f>
        <v>1383.222993888779</v>
      </c>
      <c r="AI166" s="31">
        <f ca="1">VLOOKUP($A166,$126:$144,AI$147+1,FALSE)/VLOOKUP($A166,'Assumption Table'!$B$83:$C$101,2,FALSE)</f>
        <v>1985.4049432085792</v>
      </c>
      <c r="AJ166" s="31">
        <f ca="1">VLOOKUP($A166,$126:$144,AJ$147+1,FALSE)/VLOOKUP($A166,'Assumption Table'!$B$83:$C$101,2,FALSE)</f>
        <v>4193.2485883631261</v>
      </c>
      <c r="AK166" s="31">
        <f ca="1">VLOOKUP($A166,$126:$144,AK$147+1,FALSE)/VLOOKUP($A166,'Assumption Table'!$B$83:$C$101,2,FALSE)</f>
        <v>2124.4612556291454</v>
      </c>
      <c r="AL166" s="31">
        <f ca="1">VLOOKUP($A166,$126:$144,AL$147+1,FALSE)/VLOOKUP($A166,'Assumption Table'!$B$83:$C$101,2,FALSE)</f>
        <v>3392.7927189577636</v>
      </c>
      <c r="AM166" s="31">
        <f ca="1">VLOOKUP($A166,$126:$144,AM$147+1,FALSE)/VLOOKUP($A166,'Assumption Table'!$B$83:$C$101,2,FALSE)</f>
        <v>3671.7156240722702</v>
      </c>
      <c r="AN166" s="31">
        <f ca="1">VLOOKUP($A166,$126:$144,AN$147+1,FALSE)/VLOOKUP($A166,'Assumption Table'!$B$83:$C$101,2,FALSE)</f>
        <v>2905.0631174276004</v>
      </c>
      <c r="AO166" s="31">
        <f ca="1">VLOOKUP($A166,$126:$144,AO$147+1,FALSE)/VLOOKUP($A166,'Assumption Table'!$B$83:$C$101,2,FALSE)</f>
        <v>1374.9813182347798</v>
      </c>
      <c r="AP166" s="31">
        <f ca="1">VLOOKUP($A166,$126:$144,AP$147+1,FALSE)/VLOOKUP($A166,'Assumption Table'!$B$83:$C$101,2,FALSE)</f>
        <v>1739.0087817280687</v>
      </c>
      <c r="AQ166" s="31">
        <f ca="1">VLOOKUP($A166,$126:$144,AQ$147+1,FALSE)/VLOOKUP($A166,'Assumption Table'!$B$83:$C$101,2,FALSE)</f>
        <v>2591.8524395069003</v>
      </c>
      <c r="AR166" s="31">
        <f ca="1">VLOOKUP($A166,$126:$144,AR$147+1,FALSE)/VLOOKUP($A166,'Assumption Table'!$B$83:$C$101,2,FALSE)</f>
        <v>1593.5839390248084</v>
      </c>
      <c r="AS166" s="31">
        <f ca="1">VLOOKUP($A166,$126:$144,AS$147+1,FALSE)/VLOOKUP($A166,'Assumption Table'!$B$83:$C$101,2,FALSE)</f>
        <v>3674.8711049255226</v>
      </c>
      <c r="AT166" s="31">
        <f ca="1">VLOOKUP($A166,$126:$144,AT$147+1,FALSE)/VLOOKUP($A166,'Assumption Table'!$B$83:$C$101,2,FALSE)</f>
        <v>3744.9529662012337</v>
      </c>
      <c r="AU166" s="31">
        <f ca="1">VLOOKUP($A166,$126:$144,AU$147+1,FALSE)/VLOOKUP($A166,'Assumption Table'!$B$83:$C$101,2,FALSE)</f>
        <v>3381.5089489611023</v>
      </c>
      <c r="AV166" s="31">
        <f ca="1">VLOOKUP($A166,$126:$144,AV$147+1,FALSE)/VLOOKUP($A166,'Assumption Table'!$B$83:$C$101,2,FALSE)</f>
        <v>3719.0871271996812</v>
      </c>
      <c r="AW166" s="31">
        <f ca="1">VLOOKUP($A166,$126:$144,AW$147+1,FALSE)/VLOOKUP($A166,'Assumption Table'!$B$83:$C$101,2,FALSE)</f>
        <v>4110.7694926202139</v>
      </c>
      <c r="AX166" s="31">
        <f ca="1">VLOOKUP($A166,$126:$144,AX$147+1,FALSE)/VLOOKUP($A166,'Assumption Table'!$B$83:$C$101,2,FALSE)</f>
        <v>3668.9020326019036</v>
      </c>
      <c r="AY166" s="31">
        <f ca="1">VLOOKUP($A166,$126:$144,AY$147+1,FALSE)/VLOOKUP($A166,'Assumption Table'!$B$83:$C$101,2,FALSE)</f>
        <v>2919.5660909644853</v>
      </c>
      <c r="AZ166" s="31">
        <f ca="1">VLOOKUP($A166,$126:$144,AZ$147+1,FALSE)/VLOOKUP($A166,'Assumption Table'!$B$83:$C$101,2,FALSE)</f>
        <v>4155.5338223519584</v>
      </c>
      <c r="BA166" s="31">
        <f ca="1">VLOOKUP($A166,$126:$144,BA$147+1,FALSE)/VLOOKUP($A166,'Assumption Table'!$B$83:$C$101,2,FALSE)</f>
        <v>2633.7401904162443</v>
      </c>
      <c r="BB166" s="31">
        <f ca="1">VLOOKUP($A166,$126:$144,BB$147+1,FALSE)/VLOOKUP($A166,'Assumption Table'!$B$83:$C$101,2,FALSE)</f>
        <v>3658.8916064465202</v>
      </c>
      <c r="BC166" s="31">
        <f ca="1">VLOOKUP($A166,$126:$144,BC$147+1,FALSE)/VLOOKUP($A166,'Assumption Table'!$B$83:$C$101,2,FALSE)</f>
        <v>5290.6239968348355</v>
      </c>
      <c r="BD166" s="31">
        <f ca="1">VLOOKUP($A166,$126:$144,BD$147+1,FALSE)/VLOOKUP($A166,'Assumption Table'!$B$83:$C$101,2,FALSE)</f>
        <v>5267.1210722134101</v>
      </c>
      <c r="BE166" s="31">
        <f ca="1">VLOOKUP($A166,$126:$144,BE$147+1,FALSE)/VLOOKUP($A166,'Assumption Table'!$B$83:$C$101,2,FALSE)</f>
        <v>7032.8171464533925</v>
      </c>
      <c r="BF166" s="31">
        <f ca="1">VLOOKUP($A166,$126:$144,BF$147+1,FALSE)/VLOOKUP($A166,'Assumption Table'!$B$83:$C$101,2,FALSE)</f>
        <v>6990.0891729213281</v>
      </c>
      <c r="BG166" s="31">
        <f ca="1">VLOOKUP($A166,$126:$144,BG$147+1,FALSE)/VLOOKUP($A166,'Assumption Table'!$B$83:$C$101,2,FALSE)</f>
        <v>6294.8338276825862</v>
      </c>
      <c r="BH166" s="31">
        <f ca="1">VLOOKUP($A166,$126:$144,BH$147+1,FALSE)/VLOOKUP($A166,'Assumption Table'!$B$83:$C$101,2,FALSE)</f>
        <v>3642.4585648235184</v>
      </c>
      <c r="BI166" s="107">
        <f ca="1">VLOOKUP($A166,$126:$144,BI$147+1,FALSE)/VLOOKUP($A166,'Assumption Table'!$B$83:$C$101,2,FALSE)</f>
        <v>6329.9797848853814</v>
      </c>
      <c r="BJ166" s="10" t="str">
        <f t="shared" si="75"/>
        <v>Cybersecurity Infrastructure</v>
      </c>
      <c r="BK166" s="115">
        <f ca="1">SUMIFS($B166:$BI166,$B$4:$BI$4,"&lt;=12")</f>
        <v>4392.1745030593129</v>
      </c>
      <c r="BL166" s="115">
        <f ca="1">SUMIFS($B166:$BI166,$B$4:$BI$4,"&lt;=24",$B$4:$BI$4,"&gt;12")</f>
        <v>14168.638072341633</v>
      </c>
      <c r="BM166" s="115">
        <f ca="1">SUMIFS($B166:$BI166,$B$4:$BI$4,"&lt;=36",$B$4:$BI$4,"&gt;24")</f>
        <v>24871.686672245254</v>
      </c>
      <c r="BN166" s="115">
        <f ca="1">SUMIFS($B166:$BI166,$B$4:$BI$4,"&lt;=48",$B$4:$BI$4,"&gt;36")</f>
        <v>35900.187578859943</v>
      </c>
      <c r="BO166" s="115">
        <f ca="1">SUMIFS($B166:$BI166,$B$4:$BI$4,"&lt;=60",$B$4:$BI$4,"&gt;48")</f>
        <v>57884.557308595555</v>
      </c>
    </row>
    <row r="167" spans="1:67" ht="13.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13"/>
      <c r="BJ167" s="17">
        <f t="shared" si="75"/>
        <v>0</v>
      </c>
      <c r="BK167" s="4"/>
      <c r="BL167" s="4"/>
      <c r="BM167" s="4"/>
      <c r="BN167" s="4"/>
      <c r="BO167" s="4"/>
    </row>
    <row r="168" spans="1:67" ht="13.4" customHeight="1">
      <c r="A168" s="137" t="s">
        <v>252</v>
      </c>
      <c r="B168" s="31">
        <f t="shared" ref="B168:AG168" ca="1" si="98">SUM(B149:B166)</f>
        <v>671.44076466680087</v>
      </c>
      <c r="C168" s="31">
        <f t="shared" ca="1" si="98"/>
        <v>1286.8630761635857</v>
      </c>
      <c r="D168" s="31">
        <f t="shared" ca="1" si="98"/>
        <v>2513.4179605040672</v>
      </c>
      <c r="E168" s="31">
        <f t="shared" ca="1" si="98"/>
        <v>1739.1849577980715</v>
      </c>
      <c r="F168" s="31">
        <f t="shared" ca="1" si="98"/>
        <v>2360.1814412380727</v>
      </c>
      <c r="G168" s="31">
        <f t="shared" ca="1" si="98"/>
        <v>4054.9740690583235</v>
      </c>
      <c r="H168" s="31">
        <f t="shared" ca="1" si="98"/>
        <v>3877.2983104942823</v>
      </c>
      <c r="I168" s="31">
        <f t="shared" ca="1" si="98"/>
        <v>5448.2828461758336</v>
      </c>
      <c r="J168" s="31">
        <f t="shared" ca="1" si="98"/>
        <v>6871.4031566206113</v>
      </c>
      <c r="K168" s="31">
        <f t="shared" ca="1" si="98"/>
        <v>6792.7961800233716</v>
      </c>
      <c r="L168" s="31">
        <f t="shared" ca="1" si="98"/>
        <v>7965.2174293426779</v>
      </c>
      <c r="M168" s="31">
        <f t="shared" ca="1" si="98"/>
        <v>5043.0210541850311</v>
      </c>
      <c r="N168" s="31">
        <f t="shared" ca="1" si="98"/>
        <v>10814.585458675288</v>
      </c>
      <c r="O168" s="31">
        <f t="shared" ca="1" si="98"/>
        <v>10620.217384097912</v>
      </c>
      <c r="P168" s="31">
        <f t="shared" ca="1" si="98"/>
        <v>13150.493466690956</v>
      </c>
      <c r="Q168" s="31">
        <f t="shared" ca="1" si="98"/>
        <v>11293.885634464594</v>
      </c>
      <c r="R168" s="31">
        <f t="shared" ca="1" si="98"/>
        <v>12876.03454123864</v>
      </c>
      <c r="S168" s="31">
        <f t="shared" ca="1" si="98"/>
        <v>10561.840314724639</v>
      </c>
      <c r="T168" s="31">
        <f t="shared" ca="1" si="98"/>
        <v>11084.855369393021</v>
      </c>
      <c r="U168" s="31">
        <f t="shared" ca="1" si="98"/>
        <v>10364.566209739345</v>
      </c>
      <c r="V168" s="31">
        <f t="shared" ca="1" si="98"/>
        <v>16926.224510964188</v>
      </c>
      <c r="W168" s="31">
        <f t="shared" ca="1" si="98"/>
        <v>18918.370819160584</v>
      </c>
      <c r="X168" s="31">
        <f t="shared" ca="1" si="98"/>
        <v>17668.150970875198</v>
      </c>
      <c r="Y168" s="31">
        <f t="shared" ca="1" si="98"/>
        <v>12583.359043878909</v>
      </c>
      <c r="Z168" s="31">
        <f t="shared" ca="1" si="98"/>
        <v>25219.015540943343</v>
      </c>
      <c r="AA168" s="31">
        <f t="shared" ca="1" si="98"/>
        <v>19452.370024060252</v>
      </c>
      <c r="AB168" s="31">
        <f t="shared" ca="1" si="98"/>
        <v>17566.628275238683</v>
      </c>
      <c r="AC168" s="31">
        <f t="shared" ca="1" si="98"/>
        <v>27190.357205203094</v>
      </c>
      <c r="AD168" s="31">
        <f t="shared" ca="1" si="98"/>
        <v>16832.4283327431</v>
      </c>
      <c r="AE168" s="31">
        <f t="shared" ca="1" si="98"/>
        <v>29870.879413413677</v>
      </c>
      <c r="AF168" s="31">
        <f t="shared" ca="1" si="98"/>
        <v>19120.568796388619</v>
      </c>
      <c r="AG168" s="31">
        <f t="shared" ca="1" si="98"/>
        <v>12872.76078294028</v>
      </c>
      <c r="AH168" s="31">
        <f t="shared" ref="AH168:BI168" ca="1" si="99">SUM(AH149:AH166)</f>
        <v>15312.373752980959</v>
      </c>
      <c r="AI168" s="31">
        <f t="shared" ca="1" si="99"/>
        <v>21976.066200687754</v>
      </c>
      <c r="AJ168" s="31">
        <f t="shared" ca="1" si="99"/>
        <v>46405.8087677808</v>
      </c>
      <c r="AK168" s="31">
        <f t="shared" ca="1" si="99"/>
        <v>23539.928829479162</v>
      </c>
      <c r="AL168" s="31">
        <f t="shared" ca="1" si="99"/>
        <v>37551.82935409432</v>
      </c>
      <c r="AM168" s="31">
        <f t="shared" ca="1" si="99"/>
        <v>40649.12600956524</v>
      </c>
      <c r="AN168" s="31">
        <f t="shared" ca="1" si="99"/>
        <v>32170.481477591311</v>
      </c>
      <c r="AO168" s="31">
        <f t="shared" ca="1" si="99"/>
        <v>15236.944339636579</v>
      </c>
      <c r="AP168" s="31">
        <f t="shared" ca="1" si="99"/>
        <v>19250.1079907608</v>
      </c>
      <c r="AQ168" s="31">
        <f t="shared" ca="1" si="99"/>
        <v>28688.119694634341</v>
      </c>
      <c r="AR168" s="31">
        <f t="shared" ca="1" si="99"/>
        <v>17652.520355504439</v>
      </c>
      <c r="AS168" s="31">
        <f t="shared" ca="1" si="99"/>
        <v>40667.599048442338</v>
      </c>
      <c r="AT168" s="31">
        <f t="shared" ca="1" si="99"/>
        <v>41461.92278116598</v>
      </c>
      <c r="AU168" s="31">
        <f t="shared" ca="1" si="99"/>
        <v>37441.810203170091</v>
      </c>
      <c r="AV168" s="31">
        <f t="shared" ca="1" si="99"/>
        <v>41172.952301808044</v>
      </c>
      <c r="AW168" s="31">
        <f t="shared" ca="1" si="99"/>
        <v>45509.041807275476</v>
      </c>
      <c r="AX168" s="31">
        <f t="shared" ca="1" si="99"/>
        <v>40624.428295052996</v>
      </c>
      <c r="AY168" s="31">
        <f t="shared" ca="1" si="99"/>
        <v>32330.843729442302</v>
      </c>
      <c r="AZ168" s="31">
        <f t="shared" ca="1" si="99"/>
        <v>45996.939226961222</v>
      </c>
      <c r="BA168" s="31">
        <f t="shared" ca="1" si="99"/>
        <v>29173.416717419383</v>
      </c>
      <c r="BB168" s="31">
        <f t="shared" ca="1" si="99"/>
        <v>40500.193446319587</v>
      </c>
      <c r="BC168" s="31">
        <f t="shared" ca="1" si="99"/>
        <v>58560.688212530702</v>
      </c>
      <c r="BD168" s="31">
        <f t="shared" ca="1" si="99"/>
        <v>58315.484234235344</v>
      </c>
      <c r="BE168" s="31">
        <f t="shared" ca="1" si="99"/>
        <v>77848.164824410444</v>
      </c>
      <c r="BF168" s="31">
        <f t="shared" ca="1" si="99"/>
        <v>77391.582871234103</v>
      </c>
      <c r="BG168" s="31">
        <f t="shared" ca="1" si="99"/>
        <v>69699.802779524238</v>
      </c>
      <c r="BH168" s="31">
        <f t="shared" ca="1" si="99"/>
        <v>40351.568623616455</v>
      </c>
      <c r="BI168" s="107">
        <f t="shared" ca="1" si="99"/>
        <v>70058.147336085633</v>
      </c>
      <c r="BJ168" s="138" t="str">
        <f t="shared" si="75"/>
        <v>Total Depreciation</v>
      </c>
      <c r="BK168" s="115">
        <f ca="1">SUMIFS($B168:$BI168,$B$4:$BI$4,"&lt;=12")</f>
        <v>48624.081246270733</v>
      </c>
      <c r="BL168" s="115">
        <f ca="1">SUMIFS($B168:$BI168,$B$4:$BI$4,"&lt;=24",$B$4:$BI$4,"&gt;12")</f>
        <v>156862.58372390328</v>
      </c>
      <c r="BM168" s="115">
        <f ca="1">SUMIFS($B168:$BI168,$B$4:$BI$4,"&lt;=36",$B$4:$BI$4,"&gt;24")</f>
        <v>275359.18592185975</v>
      </c>
      <c r="BN168" s="115">
        <f ca="1">SUMIFS($B168:$BI168,$B$4:$BI$4,"&lt;=48",$B$4:$BI$4,"&gt;36")</f>
        <v>397452.455363649</v>
      </c>
      <c r="BO168" s="115">
        <f ca="1">SUMIFS($B168:$BI168,$B$4:$BI$4,"&lt;=60",$B$4:$BI$4,"&gt;48")</f>
        <v>640851.26029683254</v>
      </c>
    </row>
    <row r="169" spans="1:67" ht="13.4" customHeight="1">
      <c r="A169" s="6"/>
      <c r="B169" s="6"/>
      <c r="C169" s="6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9"/>
      <c r="BJ169" s="19">
        <f t="shared" si="75"/>
        <v>0</v>
      </c>
      <c r="BK169" s="6"/>
      <c r="BL169" s="6"/>
      <c r="BM169" s="6"/>
      <c r="BN169" s="6"/>
      <c r="BO169" s="6"/>
    </row>
    <row r="170" spans="1:67" ht="12.95" customHeight="1">
      <c r="A170" s="135" t="s">
        <v>253</v>
      </c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6" t="str">
        <f t="shared" si="75"/>
        <v>Debt and Interest Expense Schedule</v>
      </c>
      <c r="BK170" s="84"/>
      <c r="BL170" s="84"/>
      <c r="BM170" s="84"/>
      <c r="BN170" s="84"/>
      <c r="BO170" s="84"/>
    </row>
    <row r="171" spans="1:67" ht="12.95" customHeight="1">
      <c r="A171" s="121"/>
      <c r="B171" s="122" t="s">
        <v>151</v>
      </c>
      <c r="C171" s="122" t="s">
        <v>152</v>
      </c>
      <c r="D171" s="122" t="s">
        <v>153</v>
      </c>
      <c r="E171" s="122" t="s">
        <v>154</v>
      </c>
      <c r="F171" s="122" t="s">
        <v>155</v>
      </c>
      <c r="G171" s="122" t="s">
        <v>156</v>
      </c>
      <c r="H171" s="122" t="s">
        <v>157</v>
      </c>
      <c r="I171" s="122" t="s">
        <v>158</v>
      </c>
      <c r="J171" s="122" t="s">
        <v>159</v>
      </c>
      <c r="K171" s="122" t="s">
        <v>160</v>
      </c>
      <c r="L171" s="122" t="s">
        <v>161</v>
      </c>
      <c r="M171" s="122" t="s">
        <v>162</v>
      </c>
      <c r="N171" s="122" t="s">
        <v>163</v>
      </c>
      <c r="O171" s="122" t="s">
        <v>164</v>
      </c>
      <c r="P171" s="122" t="s">
        <v>165</v>
      </c>
      <c r="Q171" s="122" t="s">
        <v>166</v>
      </c>
      <c r="R171" s="122" t="s">
        <v>167</v>
      </c>
      <c r="S171" s="122" t="s">
        <v>168</v>
      </c>
      <c r="T171" s="122" t="s">
        <v>169</v>
      </c>
      <c r="U171" s="122" t="s">
        <v>170</v>
      </c>
      <c r="V171" s="122" t="s">
        <v>171</v>
      </c>
      <c r="W171" s="122" t="s">
        <v>172</v>
      </c>
      <c r="X171" s="122" t="s">
        <v>173</v>
      </c>
      <c r="Y171" s="122" t="s">
        <v>174</v>
      </c>
      <c r="Z171" s="122" t="s">
        <v>175</v>
      </c>
      <c r="AA171" s="122" t="s">
        <v>176</v>
      </c>
      <c r="AB171" s="122" t="s">
        <v>177</v>
      </c>
      <c r="AC171" s="122" t="s">
        <v>178</v>
      </c>
      <c r="AD171" s="122" t="s">
        <v>179</v>
      </c>
      <c r="AE171" s="122" t="s">
        <v>180</v>
      </c>
      <c r="AF171" s="122" t="s">
        <v>181</v>
      </c>
      <c r="AG171" s="122" t="s">
        <v>182</v>
      </c>
      <c r="AH171" s="122" t="s">
        <v>183</v>
      </c>
      <c r="AI171" s="122" t="s">
        <v>184</v>
      </c>
      <c r="AJ171" s="122" t="s">
        <v>185</v>
      </c>
      <c r="AK171" s="122" t="s">
        <v>186</v>
      </c>
      <c r="AL171" s="122" t="s">
        <v>187</v>
      </c>
      <c r="AM171" s="122" t="s">
        <v>188</v>
      </c>
      <c r="AN171" s="122" t="s">
        <v>189</v>
      </c>
      <c r="AO171" s="122" t="s">
        <v>190</v>
      </c>
      <c r="AP171" s="122" t="s">
        <v>191</v>
      </c>
      <c r="AQ171" s="122" t="s">
        <v>192</v>
      </c>
      <c r="AR171" s="122" t="s">
        <v>193</v>
      </c>
      <c r="AS171" s="122" t="s">
        <v>194</v>
      </c>
      <c r="AT171" s="122" t="s">
        <v>195</v>
      </c>
      <c r="AU171" s="122" t="s">
        <v>196</v>
      </c>
      <c r="AV171" s="122" t="s">
        <v>197</v>
      </c>
      <c r="AW171" s="122" t="s">
        <v>198</v>
      </c>
      <c r="AX171" s="122" t="s">
        <v>199</v>
      </c>
      <c r="AY171" s="122" t="s">
        <v>200</v>
      </c>
      <c r="AZ171" s="122" t="s">
        <v>201</v>
      </c>
      <c r="BA171" s="122" t="s">
        <v>202</v>
      </c>
      <c r="BB171" s="122" t="s">
        <v>203</v>
      </c>
      <c r="BC171" s="122" t="s">
        <v>204</v>
      </c>
      <c r="BD171" s="122" t="s">
        <v>205</v>
      </c>
      <c r="BE171" s="122" t="s">
        <v>206</v>
      </c>
      <c r="BF171" s="122" t="s">
        <v>207</v>
      </c>
      <c r="BG171" s="122" t="s">
        <v>208</v>
      </c>
      <c r="BH171" s="122" t="s">
        <v>209</v>
      </c>
      <c r="BI171" s="123" t="s">
        <v>210</v>
      </c>
      <c r="BJ171" s="124">
        <f t="shared" si="75"/>
        <v>0</v>
      </c>
      <c r="BK171" s="81" t="s">
        <v>151</v>
      </c>
      <c r="BL171" s="81" t="s">
        <v>152</v>
      </c>
      <c r="BM171" s="81" t="s">
        <v>153</v>
      </c>
      <c r="BN171" s="81" t="s">
        <v>154</v>
      </c>
      <c r="BO171" s="81" t="s">
        <v>155</v>
      </c>
    </row>
    <row r="172" spans="1:67" ht="13.4" customHeight="1">
      <c r="A172" s="4" t="s">
        <v>254</v>
      </c>
      <c r="B172" s="27">
        <f>'Assumption Table'!$C$105</f>
        <v>5000000</v>
      </c>
      <c r="C172" s="27">
        <f t="shared" ref="C172:AH172" si="100">B177</f>
        <v>4972916.666666666</v>
      </c>
      <c r="D172" s="27">
        <f t="shared" si="100"/>
        <v>4945980.0347222211</v>
      </c>
      <c r="E172" s="27">
        <f t="shared" si="100"/>
        <v>4919189.3095341427</v>
      </c>
      <c r="F172" s="27">
        <f t="shared" si="100"/>
        <v>4892543.7007741667</v>
      </c>
      <c r="G172" s="27">
        <f t="shared" si="100"/>
        <v>4866042.4223949732</v>
      </c>
      <c r="H172" s="27">
        <f t="shared" si="100"/>
        <v>4839684.6926070005</v>
      </c>
      <c r="I172" s="27">
        <f t="shared" si="100"/>
        <v>4813469.7338553797</v>
      </c>
      <c r="J172" s="27">
        <f t="shared" si="100"/>
        <v>4787396.7727969959</v>
      </c>
      <c r="K172" s="27">
        <f t="shared" si="100"/>
        <v>4761465.0402776785</v>
      </c>
      <c r="L172" s="27">
        <f t="shared" si="100"/>
        <v>4735673.7713095071</v>
      </c>
      <c r="M172" s="27">
        <f t="shared" si="100"/>
        <v>4710022.2050482472</v>
      </c>
      <c r="N172" s="27">
        <f t="shared" si="100"/>
        <v>4684509.584770903</v>
      </c>
      <c r="O172" s="27">
        <f t="shared" si="100"/>
        <v>4659135.1578533938</v>
      </c>
      <c r="P172" s="27">
        <f t="shared" si="100"/>
        <v>4633898.1757483548</v>
      </c>
      <c r="Q172" s="27">
        <f t="shared" si="100"/>
        <v>4608797.893963051</v>
      </c>
      <c r="R172" s="27">
        <f t="shared" si="100"/>
        <v>4583833.5720374174</v>
      </c>
      <c r="S172" s="27">
        <f t="shared" si="100"/>
        <v>4559004.4735222152</v>
      </c>
      <c r="T172" s="27">
        <f t="shared" si="100"/>
        <v>4534309.865957303</v>
      </c>
      <c r="U172" s="27">
        <f t="shared" si="100"/>
        <v>4509749.0208500344</v>
      </c>
      <c r="V172" s="27">
        <f t="shared" si="100"/>
        <v>4485321.2136537638</v>
      </c>
      <c r="W172" s="27">
        <f t="shared" si="100"/>
        <v>4461025.723746472</v>
      </c>
      <c r="X172" s="27">
        <f t="shared" si="100"/>
        <v>4436861.8344095116</v>
      </c>
      <c r="Y172" s="27">
        <f t="shared" si="100"/>
        <v>4412828.8328064606</v>
      </c>
      <c r="Z172" s="27">
        <f t="shared" si="100"/>
        <v>4388926.0099620922</v>
      </c>
      <c r="AA172" s="27">
        <f t="shared" si="100"/>
        <v>4365152.6607414642</v>
      </c>
      <c r="AB172" s="27">
        <f t="shared" si="100"/>
        <v>4341508.0838291142</v>
      </c>
      <c r="AC172" s="27">
        <f t="shared" si="100"/>
        <v>4317991.5817083735</v>
      </c>
      <c r="AD172" s="27">
        <f t="shared" si="100"/>
        <v>4294602.4606407862</v>
      </c>
      <c r="AE172" s="27">
        <f t="shared" si="100"/>
        <v>4271340.0306456489</v>
      </c>
      <c r="AF172" s="27">
        <f t="shared" si="100"/>
        <v>4248203.6054796511</v>
      </c>
      <c r="AG172" s="27">
        <f t="shared" si="100"/>
        <v>4225192.5026166355</v>
      </c>
      <c r="AH172" s="27">
        <f t="shared" si="100"/>
        <v>4202306.0432274621</v>
      </c>
      <c r="AI172" s="27">
        <f t="shared" ref="AI172:BI172" si="101">AH177</f>
        <v>4179543.5521599799</v>
      </c>
      <c r="AJ172" s="27">
        <f t="shared" si="101"/>
        <v>4156904.3579191132</v>
      </c>
      <c r="AK172" s="27">
        <f t="shared" si="101"/>
        <v>4134387.7926470512</v>
      </c>
      <c r="AL172" s="27">
        <f t="shared" si="101"/>
        <v>4111993.1921035461</v>
      </c>
      <c r="AM172" s="27">
        <f t="shared" si="101"/>
        <v>4089719.8956463183</v>
      </c>
      <c r="AN172" s="27">
        <f t="shared" si="101"/>
        <v>4067567.2462115674</v>
      </c>
      <c r="AO172" s="27">
        <f t="shared" si="101"/>
        <v>4045534.5902945884</v>
      </c>
      <c r="AP172" s="27">
        <f t="shared" si="101"/>
        <v>4023621.277930493</v>
      </c>
      <c r="AQ172" s="27">
        <f t="shared" si="101"/>
        <v>4001826.6626750361</v>
      </c>
      <c r="AR172" s="27">
        <f t="shared" si="101"/>
        <v>3980150.101585546</v>
      </c>
      <c r="AS172" s="27">
        <f t="shared" si="101"/>
        <v>3958590.9552019574</v>
      </c>
      <c r="AT172" s="27">
        <f t="shared" si="101"/>
        <v>3937148.5875279466</v>
      </c>
      <c r="AU172" s="27">
        <f t="shared" si="101"/>
        <v>3915822.3660121704</v>
      </c>
      <c r="AV172" s="27">
        <f t="shared" si="101"/>
        <v>3894611.6615296043</v>
      </c>
      <c r="AW172" s="27">
        <f t="shared" si="101"/>
        <v>3873515.8483629855</v>
      </c>
      <c r="AX172" s="27">
        <f t="shared" si="101"/>
        <v>3852534.3041843525</v>
      </c>
      <c r="AY172" s="27">
        <f t="shared" si="101"/>
        <v>3831666.4100366873</v>
      </c>
      <c r="AZ172" s="27">
        <f t="shared" si="101"/>
        <v>3810911.5503156553</v>
      </c>
      <c r="BA172" s="27">
        <f t="shared" si="101"/>
        <v>3790269.1127514457</v>
      </c>
      <c r="BB172" s="27">
        <f t="shared" si="101"/>
        <v>3769738.4883907088</v>
      </c>
      <c r="BC172" s="27">
        <f t="shared" si="101"/>
        <v>3749319.0715785925</v>
      </c>
      <c r="BD172" s="27">
        <f t="shared" si="101"/>
        <v>3729010.2599408752</v>
      </c>
      <c r="BE172" s="27">
        <f t="shared" si="101"/>
        <v>3708811.4543661955</v>
      </c>
      <c r="BF172" s="27">
        <f t="shared" si="101"/>
        <v>3688722.0589883784</v>
      </c>
      <c r="BG172" s="27">
        <f t="shared" si="101"/>
        <v>3668741.4811688578</v>
      </c>
      <c r="BH172" s="27">
        <f t="shared" si="101"/>
        <v>3648869.131479193</v>
      </c>
      <c r="BI172" s="97">
        <f t="shared" si="101"/>
        <v>3629104.4236836811</v>
      </c>
      <c r="BJ172" s="17" t="str">
        <f t="shared" si="75"/>
        <v>Opening Debt Balance</v>
      </c>
      <c r="BK172" s="6">
        <f>SUMIFS($B172:$BI172,$B$4:$BI$4,"=1")</f>
        <v>5000000</v>
      </c>
      <c r="BL172" s="6">
        <f>SUMIFS($B172:$BI172,$B$4:$BI$4,"=13")</f>
        <v>4684509.584770903</v>
      </c>
      <c r="BM172" s="6">
        <f>SUMIFS($B172:$BI172,$B$4:$BI$4,"=25")</f>
        <v>4388926.0099620922</v>
      </c>
      <c r="BN172" s="6">
        <f>SUMIFS($B172:$BI172,$B$4:$BI$4,"=37")</f>
        <v>4111993.1921035461</v>
      </c>
      <c r="BO172" s="6">
        <f>SUMIFS($B172:$BI172,$B$4:$BI$4,"=49")</f>
        <v>3852534.3041843525</v>
      </c>
    </row>
    <row r="173" spans="1:67" ht="13.4" customHeight="1">
      <c r="A173" s="4" t="s">
        <v>255</v>
      </c>
      <c r="B173" s="27">
        <f>B172*'Assumption Table'!$E$107</f>
        <v>8333.3333333333339</v>
      </c>
      <c r="C173" s="27">
        <f>C172*'Assumption Table'!$E$107</f>
        <v>8288.1944444444434</v>
      </c>
      <c r="D173" s="27">
        <f>D172*'Assumption Table'!$E$107</f>
        <v>8243.3000578703686</v>
      </c>
      <c r="E173" s="27">
        <f>E172*'Assumption Table'!$E$107</f>
        <v>8198.6488492235712</v>
      </c>
      <c r="F173" s="27">
        <f>F172*'Assumption Table'!$E$107</f>
        <v>8154.239501290278</v>
      </c>
      <c r="G173" s="27">
        <f>G172*'Assumption Table'!$E$107</f>
        <v>8110.0707039916224</v>
      </c>
      <c r="H173" s="27">
        <f>H172*'Assumption Table'!$E$107</f>
        <v>8066.1411543450013</v>
      </c>
      <c r="I173" s="27">
        <f>I172*'Assumption Table'!$E$107</f>
        <v>8022.4495564256331</v>
      </c>
      <c r="J173" s="27">
        <f>J172*'Assumption Table'!$E$107</f>
        <v>7978.9946213283274</v>
      </c>
      <c r="K173" s="27">
        <f>K172*'Assumption Table'!$E$107</f>
        <v>7935.7750671294643</v>
      </c>
      <c r="L173" s="27">
        <f>L172*'Assumption Table'!$E$107</f>
        <v>7892.7896188491786</v>
      </c>
      <c r="M173" s="27">
        <f>M172*'Assumption Table'!$E$107</f>
        <v>7850.0370084137458</v>
      </c>
      <c r="N173" s="27">
        <f>N172*'Assumption Table'!$E$107</f>
        <v>7807.5159746181725</v>
      </c>
      <c r="O173" s="27">
        <f>O172*'Assumption Table'!$E$107</f>
        <v>7765.2252630889898</v>
      </c>
      <c r="P173" s="27">
        <f>P172*'Assumption Table'!$E$107</f>
        <v>7723.1636262472584</v>
      </c>
      <c r="Q173" s="27">
        <f>Q172*'Assumption Table'!$E$107</f>
        <v>7681.3298232717525</v>
      </c>
      <c r="R173" s="27">
        <f>R172*'Assumption Table'!$E$107</f>
        <v>7639.7226200623627</v>
      </c>
      <c r="S173" s="27">
        <f>S172*'Assumption Table'!$E$107</f>
        <v>7598.3407892036921</v>
      </c>
      <c r="T173" s="27">
        <f>T172*'Assumption Table'!$E$107</f>
        <v>7557.1831099288383</v>
      </c>
      <c r="U173" s="27">
        <f>U172*'Assumption Table'!$E$107</f>
        <v>7516.2483680833911</v>
      </c>
      <c r="V173" s="27">
        <f>V172*'Assumption Table'!$E$107</f>
        <v>7475.5353560896065</v>
      </c>
      <c r="W173" s="27">
        <f>W172*'Assumption Table'!$E$107</f>
        <v>7435.0428729107871</v>
      </c>
      <c r="X173" s="27">
        <f>X172*'Assumption Table'!$E$107</f>
        <v>7394.7697240158532</v>
      </c>
      <c r="Y173" s="27">
        <f>Y172*'Assumption Table'!$E$107</f>
        <v>7354.7147213441012</v>
      </c>
      <c r="Z173" s="27">
        <f>Z172*'Assumption Table'!$E$107</f>
        <v>7314.876683270154</v>
      </c>
      <c r="AA173" s="27">
        <f>AA172*'Assumption Table'!$E$107</f>
        <v>7275.2544345691076</v>
      </c>
      <c r="AB173" s="27">
        <f>AB172*'Assumption Table'!$E$107</f>
        <v>7235.8468063818573</v>
      </c>
      <c r="AC173" s="27">
        <f>AC172*'Assumption Table'!$E$107</f>
        <v>7196.6526361806227</v>
      </c>
      <c r="AD173" s="27">
        <f>AD172*'Assumption Table'!$E$107</f>
        <v>7157.670767734644</v>
      </c>
      <c r="AE173" s="27">
        <f>AE172*'Assumption Table'!$E$107</f>
        <v>7118.9000510760825</v>
      </c>
      <c r="AF173" s="27">
        <f>AF172*'Assumption Table'!$E$107</f>
        <v>7080.3393424660853</v>
      </c>
      <c r="AG173" s="27">
        <f>AG172*'Assumption Table'!$E$107</f>
        <v>7041.98750436106</v>
      </c>
      <c r="AH173" s="27">
        <f>AH172*'Assumption Table'!$E$107</f>
        <v>7003.8434053791043</v>
      </c>
      <c r="AI173" s="27">
        <f>AI172*'Assumption Table'!$E$107</f>
        <v>6965.905920266634</v>
      </c>
      <c r="AJ173" s="27">
        <f>AJ172*'Assumption Table'!$E$107</f>
        <v>6928.1739298651892</v>
      </c>
      <c r="AK173" s="27">
        <f>AK172*'Assumption Table'!$E$107</f>
        <v>6890.6463210784186</v>
      </c>
      <c r="AL173" s="27">
        <f>AL172*'Assumption Table'!$E$107</f>
        <v>6853.3219868392443</v>
      </c>
      <c r="AM173" s="27">
        <f>AM172*'Assumption Table'!$E$107</f>
        <v>6816.1998260771979</v>
      </c>
      <c r="AN173" s="27">
        <f>AN172*'Assumption Table'!$E$107</f>
        <v>6779.2787436859462</v>
      </c>
      <c r="AO173" s="27">
        <f>AO172*'Assumption Table'!$E$107</f>
        <v>6742.5576504909814</v>
      </c>
      <c r="AP173" s="27">
        <f>AP172*'Assumption Table'!$E$107</f>
        <v>6706.0354632174885</v>
      </c>
      <c r="AQ173" s="27">
        <f>AQ172*'Assumption Table'!$E$107</f>
        <v>6669.7111044583944</v>
      </c>
      <c r="AR173" s="27">
        <f>AR172*'Assumption Table'!$E$107</f>
        <v>6633.5835026425775</v>
      </c>
      <c r="AS173" s="27">
        <f>AS172*'Assumption Table'!$E$107</f>
        <v>6597.6515920032625</v>
      </c>
      <c r="AT173" s="27">
        <f>AT172*'Assumption Table'!$E$107</f>
        <v>6561.914312546578</v>
      </c>
      <c r="AU173" s="27">
        <f>AU172*'Assumption Table'!$E$107</f>
        <v>6526.3706100202844</v>
      </c>
      <c r="AV173" s="27">
        <f>AV172*'Assumption Table'!$E$107</f>
        <v>6491.0194358826748</v>
      </c>
      <c r="AW173" s="27">
        <f>AW172*'Assumption Table'!$E$107</f>
        <v>6455.8597472716428</v>
      </c>
      <c r="AX173" s="27">
        <f>AX172*'Assumption Table'!$E$107</f>
        <v>6420.8905069739212</v>
      </c>
      <c r="AY173" s="27">
        <f>AY172*'Assumption Table'!$E$107</f>
        <v>6386.1106833944796</v>
      </c>
      <c r="AZ173" s="27">
        <f>AZ172*'Assumption Table'!$E$107</f>
        <v>6351.5192505260929</v>
      </c>
      <c r="BA173" s="27">
        <f>BA172*'Assumption Table'!$E$107</f>
        <v>6317.1151879190766</v>
      </c>
      <c r="BB173" s="27">
        <f>BB172*'Assumption Table'!$E$107</f>
        <v>6282.8974806511815</v>
      </c>
      <c r="BC173" s="27">
        <f>BC172*'Assumption Table'!$E$107</f>
        <v>6248.8651192976549</v>
      </c>
      <c r="BD173" s="27">
        <f>BD172*'Assumption Table'!$E$107</f>
        <v>6215.017099901459</v>
      </c>
      <c r="BE173" s="27">
        <f>BE172*'Assumption Table'!$E$107</f>
        <v>6181.3524239436592</v>
      </c>
      <c r="BF173" s="27">
        <f>BF172*'Assumption Table'!$E$107</f>
        <v>6147.8700983139643</v>
      </c>
      <c r="BG173" s="27">
        <f>BG172*'Assumption Table'!$E$107</f>
        <v>6114.5691352814301</v>
      </c>
      <c r="BH173" s="27">
        <f>BH172*'Assumption Table'!$E$107</f>
        <v>6081.4485524653219</v>
      </c>
      <c r="BI173" s="97">
        <f>BI172*'Assumption Table'!$E$107</f>
        <v>6048.5073728061352</v>
      </c>
      <c r="BJ173" s="17" t="str">
        <f t="shared" si="75"/>
        <v>Debt Issued</v>
      </c>
      <c r="BK173" s="115">
        <f>SUMIFS($B173:$BI173,$B$4:$BI$4,"&lt;=12")</f>
        <v>97073.973916644958</v>
      </c>
      <c r="BL173" s="115">
        <f>SUMIFS($B173:$BI173,$B$4:$BI$4,"&lt;=24",$B$4:$BI$4,"&gt;12")</f>
        <v>90948.792248864818</v>
      </c>
      <c r="BM173" s="115">
        <f>SUMIFS($B173:$BI173,$B$4:$BI$4,"&lt;=36",$B$4:$BI$4,"&gt;24")</f>
        <v>85210.097802628952</v>
      </c>
      <c r="BN173" s="115">
        <f>SUMIFS($B173:$BI173,$B$4:$BI$4,"&lt;=48",$B$4:$BI$4,"&gt;36")</f>
        <v>79833.503975136264</v>
      </c>
      <c r="BO173" s="115">
        <f>SUMIFS($B173:$BI173,$B$4:$BI$4,"&lt;=60",$B$4:$BI$4,"&gt;48")</f>
        <v>74796.162911474385</v>
      </c>
    </row>
    <row r="174" spans="1:67" ht="13.4" customHeight="1">
      <c r="A174" s="4" t="s">
        <v>256</v>
      </c>
      <c r="B174" s="27">
        <f>B172*'Assumption Table'!$E$109</f>
        <v>35416.666666666672</v>
      </c>
      <c r="C174" s="27">
        <f>C172*'Assumption Table'!$E$109</f>
        <v>35224.826388888891</v>
      </c>
      <c r="D174" s="27">
        <f>D172*'Assumption Table'!$E$109</f>
        <v>35034.025245949066</v>
      </c>
      <c r="E174" s="27">
        <f>E172*'Assumption Table'!$E$109</f>
        <v>34844.257609200184</v>
      </c>
      <c r="F174" s="27">
        <f>F172*'Assumption Table'!$E$109</f>
        <v>34655.517880483683</v>
      </c>
      <c r="G174" s="27">
        <f>G172*'Assumption Table'!$E$109</f>
        <v>34467.800491964394</v>
      </c>
      <c r="H174" s="27">
        <f>H172*'Assumption Table'!$E$109</f>
        <v>34281.099905966257</v>
      </c>
      <c r="I174" s="27">
        <f>I172*'Assumption Table'!$E$109</f>
        <v>34095.410614808941</v>
      </c>
      <c r="J174" s="27">
        <f>J172*'Assumption Table'!$E$109</f>
        <v>33910.727140645387</v>
      </c>
      <c r="K174" s="27">
        <f>K172*'Assumption Table'!$E$109</f>
        <v>33727.044035300227</v>
      </c>
      <c r="L174" s="27">
        <f>L172*'Assumption Table'!$E$109</f>
        <v>33544.355880109011</v>
      </c>
      <c r="M174" s="27">
        <f>M172*'Assumption Table'!$E$109</f>
        <v>33362.657285758418</v>
      </c>
      <c r="N174" s="27">
        <f>N172*'Assumption Table'!$E$109</f>
        <v>33181.942892127234</v>
      </c>
      <c r="O174" s="27">
        <f>O172*'Assumption Table'!$E$109</f>
        <v>33002.207368128205</v>
      </c>
      <c r="P174" s="27">
        <f>P172*'Assumption Table'!$E$109</f>
        <v>32823.445411550849</v>
      </c>
      <c r="Q174" s="27">
        <f>Q172*'Assumption Table'!$E$109</f>
        <v>32645.651748904947</v>
      </c>
      <c r="R174" s="27">
        <f>R172*'Assumption Table'!$E$109</f>
        <v>32468.821135265043</v>
      </c>
      <c r="S174" s="27">
        <f>S172*'Assumption Table'!$E$109</f>
        <v>32292.948354115691</v>
      </c>
      <c r="T174" s="27">
        <f>T172*'Assumption Table'!$E$109</f>
        <v>32118.028217197567</v>
      </c>
      <c r="U174" s="27">
        <f>U172*'Assumption Table'!$E$109</f>
        <v>31944.055564354414</v>
      </c>
      <c r="V174" s="27">
        <f>V172*'Assumption Table'!$E$109</f>
        <v>31771.02526338083</v>
      </c>
      <c r="W174" s="27">
        <f>W172*'Assumption Table'!$E$109</f>
        <v>31598.932209870847</v>
      </c>
      <c r="X174" s="27">
        <f>X172*'Assumption Table'!$E$109</f>
        <v>31427.771327067378</v>
      </c>
      <c r="Y174" s="27">
        <f>Y172*'Assumption Table'!$E$109</f>
        <v>31257.537565712431</v>
      </c>
      <c r="Z174" s="27">
        <f>Z172*'Assumption Table'!$E$109</f>
        <v>31088.225903898154</v>
      </c>
      <c r="AA174" s="27">
        <f>AA172*'Assumption Table'!$E$109</f>
        <v>30919.831346918709</v>
      </c>
      <c r="AB174" s="27">
        <f>AB172*'Assumption Table'!$E$109</f>
        <v>30752.348927122894</v>
      </c>
      <c r="AC174" s="27">
        <f>AC172*'Assumption Table'!$E$109</f>
        <v>30585.773703767649</v>
      </c>
      <c r="AD174" s="27">
        <f>AD172*'Assumption Table'!$E$109</f>
        <v>30420.100762872236</v>
      </c>
      <c r="AE174" s="27">
        <f>AE172*'Assumption Table'!$E$109</f>
        <v>30255.32521707335</v>
      </c>
      <c r="AF174" s="27">
        <f>AF172*'Assumption Table'!$E$109</f>
        <v>30091.442205480864</v>
      </c>
      <c r="AG174" s="27">
        <f>AG172*'Assumption Table'!$E$109</f>
        <v>29928.446893534503</v>
      </c>
      <c r="AH174" s="27">
        <f>AH172*'Assumption Table'!$E$109</f>
        <v>29766.334472861192</v>
      </c>
      <c r="AI174" s="27">
        <f>AI172*'Assumption Table'!$E$109</f>
        <v>29605.100161133192</v>
      </c>
      <c r="AJ174" s="27">
        <f>AJ172*'Assumption Table'!$E$109</f>
        <v>29444.739201927056</v>
      </c>
      <c r="AK174" s="27">
        <f>AK172*'Assumption Table'!$E$109</f>
        <v>29285.246864583281</v>
      </c>
      <c r="AL174" s="27">
        <f>AL172*'Assumption Table'!$E$109</f>
        <v>29126.618444066786</v>
      </c>
      <c r="AM174" s="27">
        <f>AM172*'Assumption Table'!$E$109</f>
        <v>28968.84926082809</v>
      </c>
      <c r="AN174" s="27">
        <f>AN172*'Assumption Table'!$E$109</f>
        <v>28811.934660665273</v>
      </c>
      <c r="AO174" s="27">
        <f>AO172*'Assumption Table'!$E$109</f>
        <v>28655.870014586668</v>
      </c>
      <c r="AP174" s="27">
        <f>AP172*'Assumption Table'!$E$109</f>
        <v>28500.650718674329</v>
      </c>
      <c r="AQ174" s="27">
        <f>AQ172*'Assumption Table'!$E$109</f>
        <v>28346.272193948174</v>
      </c>
      <c r="AR174" s="27">
        <f>AR172*'Assumption Table'!$E$109</f>
        <v>28192.729886230954</v>
      </c>
      <c r="AS174" s="27">
        <f>AS172*'Assumption Table'!$E$109</f>
        <v>28040.019266013867</v>
      </c>
      <c r="AT174" s="27">
        <f>AT172*'Assumption Table'!$E$109</f>
        <v>27888.135828322957</v>
      </c>
      <c r="AU174" s="27">
        <f>AU172*'Assumption Table'!$E$109</f>
        <v>27737.075092586208</v>
      </c>
      <c r="AV174" s="27">
        <f>AV172*'Assumption Table'!$E$109</f>
        <v>27586.832602501367</v>
      </c>
      <c r="AW174" s="27">
        <f>AW172*'Assumption Table'!$E$109</f>
        <v>27437.403925904484</v>
      </c>
      <c r="AX174" s="27">
        <f>AX172*'Assumption Table'!$E$109</f>
        <v>27288.784654639167</v>
      </c>
      <c r="AY174" s="27">
        <f>AY172*'Assumption Table'!$E$109</f>
        <v>27140.970404426538</v>
      </c>
      <c r="AZ174" s="27">
        <f>AZ172*'Assumption Table'!$E$109</f>
        <v>26993.956814735895</v>
      </c>
      <c r="BA174" s="27">
        <f>BA172*'Assumption Table'!$E$109</f>
        <v>26847.739548656074</v>
      </c>
      <c r="BB174" s="27">
        <f>BB172*'Assumption Table'!$E$109</f>
        <v>26702.314292767522</v>
      </c>
      <c r="BC174" s="27">
        <f>BC172*'Assumption Table'!$E$109</f>
        <v>26557.676757015033</v>
      </c>
      <c r="BD174" s="27">
        <f>BD172*'Assumption Table'!$E$109</f>
        <v>26413.822674581203</v>
      </c>
      <c r="BE174" s="27">
        <f>BE172*'Assumption Table'!$E$109</f>
        <v>26270.747801760554</v>
      </c>
      <c r="BF174" s="27">
        <f>BF172*'Assumption Table'!$E$109</f>
        <v>26128.44791783435</v>
      </c>
      <c r="BG174" s="27">
        <f>BG172*'Assumption Table'!$E$109</f>
        <v>25986.918824946079</v>
      </c>
      <c r="BH174" s="27">
        <f>BH172*'Assumption Table'!$E$109</f>
        <v>25846.15634797762</v>
      </c>
      <c r="BI174" s="97">
        <f>BI172*'Assumption Table'!$E$109</f>
        <v>25706.156334426076</v>
      </c>
      <c r="BJ174" s="17" t="str">
        <f t="shared" si="75"/>
        <v>Debt Repaid</v>
      </c>
      <c r="BK174" s="115">
        <f>SUMIFS($B174:$BI174,$B$4:$BI$4,"&lt;=12")</f>
        <v>412564.38914574106</v>
      </c>
      <c r="BL174" s="115">
        <f>SUMIFS($B174:$BI174,$B$4:$BI$4,"&lt;=24",$B$4:$BI$4,"&gt;12")</f>
        <v>386532.36705767544</v>
      </c>
      <c r="BM174" s="115">
        <f>SUMIFS($B174:$BI174,$B$4:$BI$4,"&lt;=36",$B$4:$BI$4,"&gt;24")</f>
        <v>362142.91566117306</v>
      </c>
      <c r="BN174" s="115">
        <f>SUMIFS($B174:$BI174,$B$4:$BI$4,"&lt;=48",$B$4:$BI$4,"&gt;36")</f>
        <v>339292.39189432916</v>
      </c>
      <c r="BO174" s="115">
        <f>SUMIFS($B174:$BI174,$B$4:$BI$4,"&lt;=60",$B$4:$BI$4,"&gt;48")</f>
        <v>317883.69237376616</v>
      </c>
    </row>
    <row r="175" spans="1:67" ht="13.4" customHeight="1">
      <c r="A175" s="4" t="s">
        <v>257</v>
      </c>
      <c r="B175" s="27">
        <f>B172*'Assumption Table'!$E$108</f>
        <v>16666.666666666668</v>
      </c>
      <c r="C175" s="27">
        <f>C172*'Assumption Table'!$E$108</f>
        <v>16576.388888888887</v>
      </c>
      <c r="D175" s="27">
        <f>D172*'Assumption Table'!$E$108</f>
        <v>16486.600115740737</v>
      </c>
      <c r="E175" s="27">
        <f>E172*'Assumption Table'!$E$108</f>
        <v>16397.297698447142</v>
      </c>
      <c r="F175" s="27">
        <f>F172*'Assumption Table'!$E$108</f>
        <v>16308.479002580556</v>
      </c>
      <c r="G175" s="27">
        <f>G172*'Assumption Table'!$E$108</f>
        <v>16220.141407983245</v>
      </c>
      <c r="H175" s="27">
        <f>H172*'Assumption Table'!$E$108</f>
        <v>16132.282308690003</v>
      </c>
      <c r="I175" s="27">
        <f>I172*'Assumption Table'!$E$108</f>
        <v>16044.899112851266</v>
      </c>
      <c r="J175" s="27">
        <f>J172*'Assumption Table'!$E$108</f>
        <v>15957.989242656655</v>
      </c>
      <c r="K175" s="27">
        <f>K172*'Assumption Table'!$E$108</f>
        <v>15871.550134258929</v>
      </c>
      <c r="L175" s="27">
        <f>L172*'Assumption Table'!$E$108</f>
        <v>15785.579237698357</v>
      </c>
      <c r="M175" s="27">
        <f>M172*'Assumption Table'!$E$108</f>
        <v>15700.074016827492</v>
      </c>
      <c r="N175" s="27">
        <f>N172*'Assumption Table'!$E$108</f>
        <v>15615.031949236345</v>
      </c>
      <c r="O175" s="27">
        <f>O172*'Assumption Table'!$E$108</f>
        <v>15530.45052617798</v>
      </c>
      <c r="P175" s="27">
        <f>P172*'Assumption Table'!$E$108</f>
        <v>15446.327252494517</v>
      </c>
      <c r="Q175" s="27">
        <f>Q172*'Assumption Table'!$E$108</f>
        <v>15362.659646543505</v>
      </c>
      <c r="R175" s="27">
        <f>R172*'Assumption Table'!$E$108</f>
        <v>15279.445240124725</v>
      </c>
      <c r="S175" s="27">
        <f>S172*'Assumption Table'!$E$108</f>
        <v>15196.681578407384</v>
      </c>
      <c r="T175" s="27">
        <f>T172*'Assumption Table'!$E$108</f>
        <v>15114.366219857677</v>
      </c>
      <c r="U175" s="27">
        <f>U172*'Assumption Table'!$E$108</f>
        <v>15032.496736166782</v>
      </c>
      <c r="V175" s="27">
        <f>V172*'Assumption Table'!$E$108</f>
        <v>14951.070712179213</v>
      </c>
      <c r="W175" s="27">
        <f>W172*'Assumption Table'!$E$108</f>
        <v>14870.085745821574</v>
      </c>
      <c r="X175" s="27">
        <f>X172*'Assumption Table'!$E$108</f>
        <v>14789.539448031706</v>
      </c>
      <c r="Y175" s="27">
        <f>Y172*'Assumption Table'!$E$108</f>
        <v>14709.429442688202</v>
      </c>
      <c r="Z175" s="27">
        <f>Z172*'Assumption Table'!$E$108</f>
        <v>14629.753366540308</v>
      </c>
      <c r="AA175" s="27">
        <f>AA172*'Assumption Table'!$E$108</f>
        <v>14550.508869138215</v>
      </c>
      <c r="AB175" s="27">
        <f>AB172*'Assumption Table'!$E$108</f>
        <v>14471.693612763715</v>
      </c>
      <c r="AC175" s="27">
        <f>AC172*'Assumption Table'!$E$108</f>
        <v>14393.305272361245</v>
      </c>
      <c r="AD175" s="27">
        <f>AD172*'Assumption Table'!$E$108</f>
        <v>14315.341535469288</v>
      </c>
      <c r="AE175" s="27">
        <f>AE172*'Assumption Table'!$E$108</f>
        <v>14237.800102152165</v>
      </c>
      <c r="AF175" s="27">
        <f>AF172*'Assumption Table'!$E$108</f>
        <v>14160.678684932171</v>
      </c>
      <c r="AG175" s="27">
        <f>AG172*'Assumption Table'!$E$108</f>
        <v>14083.97500872212</v>
      </c>
      <c r="AH175" s="27">
        <f>AH172*'Assumption Table'!$E$108</f>
        <v>14007.686810758209</v>
      </c>
      <c r="AI175" s="27">
        <f>AI172*'Assumption Table'!$E$108</f>
        <v>13931.811840533268</v>
      </c>
      <c r="AJ175" s="27">
        <f>AJ172*'Assumption Table'!$E$108</f>
        <v>13856.347859730378</v>
      </c>
      <c r="AK175" s="27">
        <f>AK172*'Assumption Table'!$E$108</f>
        <v>13781.292642156837</v>
      </c>
      <c r="AL175" s="27">
        <f>AL172*'Assumption Table'!$E$108</f>
        <v>13706.643973678489</v>
      </c>
      <c r="AM175" s="27">
        <f>AM172*'Assumption Table'!$E$108</f>
        <v>13632.399652154396</v>
      </c>
      <c r="AN175" s="27">
        <f>AN172*'Assumption Table'!$E$108</f>
        <v>13558.557487371892</v>
      </c>
      <c r="AO175" s="27">
        <f>AO172*'Assumption Table'!$E$108</f>
        <v>13485.115300981963</v>
      </c>
      <c r="AP175" s="27">
        <f>AP172*'Assumption Table'!$E$108</f>
        <v>13412.070926434977</v>
      </c>
      <c r="AQ175" s="27">
        <f>AQ172*'Assumption Table'!$E$108</f>
        <v>13339.422208916789</v>
      </c>
      <c r="AR175" s="27">
        <f>AR172*'Assumption Table'!$E$108</f>
        <v>13267.167005285155</v>
      </c>
      <c r="AS175" s="27">
        <f>AS172*'Assumption Table'!$E$108</f>
        <v>13195.303184006525</v>
      </c>
      <c r="AT175" s="27">
        <f>AT172*'Assumption Table'!$E$108</f>
        <v>13123.828625093156</v>
      </c>
      <c r="AU175" s="27">
        <f>AU172*'Assumption Table'!$E$108</f>
        <v>13052.741220040569</v>
      </c>
      <c r="AV175" s="27">
        <f>AV172*'Assumption Table'!$E$108</f>
        <v>12982.03887176535</v>
      </c>
      <c r="AW175" s="27">
        <f>AW172*'Assumption Table'!$E$108</f>
        <v>12911.719494543286</v>
      </c>
      <c r="AX175" s="27">
        <f>AX172*'Assumption Table'!$E$108</f>
        <v>12841.781013947842</v>
      </c>
      <c r="AY175" s="27">
        <f>AY172*'Assumption Table'!$E$108</f>
        <v>12772.221366788959</v>
      </c>
      <c r="AZ175" s="27">
        <f>AZ172*'Assumption Table'!$E$108</f>
        <v>12703.038501052186</v>
      </c>
      <c r="BA175" s="27">
        <f>BA172*'Assumption Table'!$E$108</f>
        <v>12634.230375838153</v>
      </c>
      <c r="BB175" s="27">
        <f>BB172*'Assumption Table'!$E$108</f>
        <v>12565.794961302363</v>
      </c>
      <c r="BC175" s="27">
        <f>BC172*'Assumption Table'!$E$108</f>
        <v>12497.73023859531</v>
      </c>
      <c r="BD175" s="27">
        <f>BD172*'Assumption Table'!$E$108</f>
        <v>12430.034199802918</v>
      </c>
      <c r="BE175" s="27">
        <f>BE172*'Assumption Table'!$E$108</f>
        <v>12362.704847887318</v>
      </c>
      <c r="BF175" s="27">
        <f>BF172*'Assumption Table'!$E$108</f>
        <v>12295.740196627929</v>
      </c>
      <c r="BG175" s="27">
        <f>BG172*'Assumption Table'!$E$108</f>
        <v>12229.13827056286</v>
      </c>
      <c r="BH175" s="27">
        <f>BH172*'Assumption Table'!$E$108</f>
        <v>12162.897104930644</v>
      </c>
      <c r="BI175" s="97">
        <f>BI172*'Assumption Table'!$E$108</f>
        <v>12097.01474561227</v>
      </c>
      <c r="BJ175" s="17" t="str">
        <f t="shared" si="75"/>
        <v>Interest Expense</v>
      </c>
      <c r="BK175" s="115">
        <f>SUMIFS($B175:$BI175,$B$4:$BI$4,"&lt;=12")</f>
        <v>194147.94783328992</v>
      </c>
      <c r="BL175" s="115">
        <f>SUMIFS($B175:$BI175,$B$4:$BI$4,"&lt;=24",$B$4:$BI$4,"&gt;12")</f>
        <v>181897.58449772964</v>
      </c>
      <c r="BM175" s="115">
        <f>SUMIFS($B175:$BI175,$B$4:$BI$4,"&lt;=36",$B$4:$BI$4,"&gt;24")</f>
        <v>170420.1956052579</v>
      </c>
      <c r="BN175" s="115">
        <f>SUMIFS($B175:$BI175,$B$4:$BI$4,"&lt;=48",$B$4:$BI$4,"&gt;36")</f>
        <v>159667.00795027253</v>
      </c>
      <c r="BO175" s="115">
        <f>SUMIFS($B175:$BI175,$B$4:$BI$4,"&lt;=60",$B$4:$BI$4,"&gt;48")</f>
        <v>149592.32582294877</v>
      </c>
    </row>
    <row r="176" spans="1:67" ht="13.4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9"/>
      <c r="BJ176" s="8">
        <f t="shared" si="75"/>
        <v>0</v>
      </c>
      <c r="BK176" s="6"/>
      <c r="BL176" s="6"/>
      <c r="BM176" s="6"/>
      <c r="BN176" s="6"/>
      <c r="BO176" s="6"/>
    </row>
    <row r="177" spans="1:67" ht="13.4" customHeight="1">
      <c r="A177" s="5" t="s">
        <v>258</v>
      </c>
      <c r="B177" s="27">
        <f t="shared" ref="B177:AG177" si="102">B172+B173-B174</f>
        <v>4972916.666666666</v>
      </c>
      <c r="C177" s="27">
        <f t="shared" si="102"/>
        <v>4945980.0347222211</v>
      </c>
      <c r="D177" s="27">
        <f t="shared" si="102"/>
        <v>4919189.3095341427</v>
      </c>
      <c r="E177" s="27">
        <f t="shared" si="102"/>
        <v>4892543.7007741667</v>
      </c>
      <c r="F177" s="27">
        <f t="shared" si="102"/>
        <v>4866042.4223949732</v>
      </c>
      <c r="G177" s="27">
        <f t="shared" si="102"/>
        <v>4839684.6926070005</v>
      </c>
      <c r="H177" s="27">
        <f t="shared" si="102"/>
        <v>4813469.7338553797</v>
      </c>
      <c r="I177" s="27">
        <f t="shared" si="102"/>
        <v>4787396.7727969959</v>
      </c>
      <c r="J177" s="27">
        <f t="shared" si="102"/>
        <v>4761465.0402776785</v>
      </c>
      <c r="K177" s="27">
        <f t="shared" si="102"/>
        <v>4735673.7713095071</v>
      </c>
      <c r="L177" s="27">
        <f t="shared" si="102"/>
        <v>4710022.2050482472</v>
      </c>
      <c r="M177" s="27">
        <f t="shared" si="102"/>
        <v>4684509.584770903</v>
      </c>
      <c r="N177" s="27">
        <f t="shared" si="102"/>
        <v>4659135.1578533938</v>
      </c>
      <c r="O177" s="27">
        <f t="shared" si="102"/>
        <v>4633898.1757483548</v>
      </c>
      <c r="P177" s="27">
        <f t="shared" si="102"/>
        <v>4608797.893963051</v>
      </c>
      <c r="Q177" s="27">
        <f t="shared" si="102"/>
        <v>4583833.5720374174</v>
      </c>
      <c r="R177" s="27">
        <f t="shared" si="102"/>
        <v>4559004.4735222152</v>
      </c>
      <c r="S177" s="27">
        <f t="shared" si="102"/>
        <v>4534309.865957303</v>
      </c>
      <c r="T177" s="27">
        <f t="shared" si="102"/>
        <v>4509749.0208500344</v>
      </c>
      <c r="U177" s="27">
        <f t="shared" si="102"/>
        <v>4485321.2136537638</v>
      </c>
      <c r="V177" s="27">
        <f t="shared" si="102"/>
        <v>4461025.723746472</v>
      </c>
      <c r="W177" s="27">
        <f t="shared" si="102"/>
        <v>4436861.8344095116</v>
      </c>
      <c r="X177" s="27">
        <f t="shared" si="102"/>
        <v>4412828.8328064606</v>
      </c>
      <c r="Y177" s="27">
        <f t="shared" si="102"/>
        <v>4388926.0099620922</v>
      </c>
      <c r="Z177" s="27">
        <f t="shared" si="102"/>
        <v>4365152.6607414642</v>
      </c>
      <c r="AA177" s="27">
        <f t="shared" si="102"/>
        <v>4341508.0838291142</v>
      </c>
      <c r="AB177" s="27">
        <f t="shared" si="102"/>
        <v>4317991.5817083735</v>
      </c>
      <c r="AC177" s="27">
        <f t="shared" si="102"/>
        <v>4294602.4606407862</v>
      </c>
      <c r="AD177" s="27">
        <f t="shared" si="102"/>
        <v>4271340.0306456489</v>
      </c>
      <c r="AE177" s="27">
        <f t="shared" si="102"/>
        <v>4248203.6054796511</v>
      </c>
      <c r="AF177" s="27">
        <f t="shared" si="102"/>
        <v>4225192.5026166355</v>
      </c>
      <c r="AG177" s="27">
        <f t="shared" si="102"/>
        <v>4202306.0432274621</v>
      </c>
      <c r="AH177" s="27">
        <f t="shared" ref="AH177:BI177" si="103">AH172+AH173-AH174</f>
        <v>4179543.5521599799</v>
      </c>
      <c r="AI177" s="27">
        <f t="shared" si="103"/>
        <v>4156904.3579191132</v>
      </c>
      <c r="AJ177" s="27">
        <f t="shared" si="103"/>
        <v>4134387.7926470512</v>
      </c>
      <c r="AK177" s="27">
        <f t="shared" si="103"/>
        <v>4111993.1921035461</v>
      </c>
      <c r="AL177" s="27">
        <f t="shared" si="103"/>
        <v>4089719.8956463183</v>
      </c>
      <c r="AM177" s="27">
        <f t="shared" si="103"/>
        <v>4067567.2462115674</v>
      </c>
      <c r="AN177" s="27">
        <f t="shared" si="103"/>
        <v>4045534.5902945884</v>
      </c>
      <c r="AO177" s="27">
        <f t="shared" si="103"/>
        <v>4023621.277930493</v>
      </c>
      <c r="AP177" s="27">
        <f t="shared" si="103"/>
        <v>4001826.6626750361</v>
      </c>
      <c r="AQ177" s="27">
        <f t="shared" si="103"/>
        <v>3980150.101585546</v>
      </c>
      <c r="AR177" s="27">
        <f t="shared" si="103"/>
        <v>3958590.9552019574</v>
      </c>
      <c r="AS177" s="27">
        <f t="shared" si="103"/>
        <v>3937148.5875279466</v>
      </c>
      <c r="AT177" s="27">
        <f t="shared" si="103"/>
        <v>3915822.3660121704</v>
      </c>
      <c r="AU177" s="27">
        <f t="shared" si="103"/>
        <v>3894611.6615296043</v>
      </c>
      <c r="AV177" s="27">
        <f t="shared" si="103"/>
        <v>3873515.8483629855</v>
      </c>
      <c r="AW177" s="27">
        <f t="shared" si="103"/>
        <v>3852534.3041843525</v>
      </c>
      <c r="AX177" s="27">
        <f t="shared" si="103"/>
        <v>3831666.4100366873</v>
      </c>
      <c r="AY177" s="27">
        <f t="shared" si="103"/>
        <v>3810911.5503156553</v>
      </c>
      <c r="AZ177" s="27">
        <f t="shared" si="103"/>
        <v>3790269.1127514457</v>
      </c>
      <c r="BA177" s="27">
        <f t="shared" si="103"/>
        <v>3769738.4883907088</v>
      </c>
      <c r="BB177" s="27">
        <f t="shared" si="103"/>
        <v>3749319.0715785925</v>
      </c>
      <c r="BC177" s="27">
        <f t="shared" si="103"/>
        <v>3729010.2599408752</v>
      </c>
      <c r="BD177" s="27">
        <f t="shared" si="103"/>
        <v>3708811.4543661955</v>
      </c>
      <c r="BE177" s="27">
        <f t="shared" si="103"/>
        <v>3688722.0589883784</v>
      </c>
      <c r="BF177" s="27">
        <f t="shared" si="103"/>
        <v>3668741.4811688578</v>
      </c>
      <c r="BG177" s="27">
        <f t="shared" si="103"/>
        <v>3648869.131479193</v>
      </c>
      <c r="BH177" s="27">
        <f t="shared" si="103"/>
        <v>3629104.4236836811</v>
      </c>
      <c r="BI177" s="97">
        <f t="shared" si="103"/>
        <v>3609446.7747220611</v>
      </c>
      <c r="BJ177" s="8" t="str">
        <f t="shared" si="75"/>
        <v>Closing Debt Balance/Total Debt</v>
      </c>
      <c r="BK177" s="6">
        <f>SUMIFS($B177:$BI177,$B$4:$BI$4,"=12")</f>
        <v>4684509.584770903</v>
      </c>
      <c r="BL177" s="6">
        <f>SUMIFS($B177:$BI177,$B$4:$BI$4,"=24")</f>
        <v>4388926.0099620922</v>
      </c>
      <c r="BM177" s="6">
        <f>SUMIFS($B177:$BI177,$B$4:$BI$4,"=36")</f>
        <v>4111993.1921035461</v>
      </c>
      <c r="BN177" s="6">
        <f>SUMIFS($B177:$BI177,$B$4:$BI$4,"=48")</f>
        <v>3852534.3041843525</v>
      </c>
      <c r="BO177" s="6">
        <f>SUMIFS($B177:$BI177,$B$4:$BI$4,"=60")</f>
        <v>3609446.7747220611</v>
      </c>
    </row>
    <row r="178" spans="1:67" ht="13.4" customHeight="1">
      <c r="A178" s="6"/>
      <c r="B178" s="6"/>
      <c r="C178" s="6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9"/>
      <c r="BJ178" s="19">
        <f t="shared" si="75"/>
        <v>0</v>
      </c>
      <c r="BK178" s="6"/>
      <c r="BL178" s="6"/>
      <c r="BM178" s="6"/>
      <c r="BN178" s="6"/>
      <c r="BO178" s="6"/>
    </row>
    <row r="179" spans="1:67" ht="12.95" customHeight="1">
      <c r="A179" s="135" t="s">
        <v>259</v>
      </c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6" t="str">
        <f t="shared" si="75"/>
        <v>Working Capital Schedule</v>
      </c>
      <c r="BK179" s="84"/>
      <c r="BL179" s="84"/>
      <c r="BM179" s="84"/>
      <c r="BN179" s="84"/>
      <c r="BO179" s="84"/>
    </row>
    <row r="180" spans="1:67" ht="12.95" customHeight="1">
      <c r="A180" s="121"/>
      <c r="B180" s="122" t="s">
        <v>151</v>
      </c>
      <c r="C180" s="122" t="s">
        <v>152</v>
      </c>
      <c r="D180" s="122" t="s">
        <v>153</v>
      </c>
      <c r="E180" s="122" t="s">
        <v>154</v>
      </c>
      <c r="F180" s="122" t="s">
        <v>155</v>
      </c>
      <c r="G180" s="122" t="s">
        <v>156</v>
      </c>
      <c r="H180" s="122" t="s">
        <v>157</v>
      </c>
      <c r="I180" s="122" t="s">
        <v>158</v>
      </c>
      <c r="J180" s="122" t="s">
        <v>159</v>
      </c>
      <c r="K180" s="122" t="s">
        <v>160</v>
      </c>
      <c r="L180" s="122" t="s">
        <v>161</v>
      </c>
      <c r="M180" s="122" t="s">
        <v>162</v>
      </c>
      <c r="N180" s="122" t="s">
        <v>163</v>
      </c>
      <c r="O180" s="122" t="s">
        <v>164</v>
      </c>
      <c r="P180" s="122" t="s">
        <v>165</v>
      </c>
      <c r="Q180" s="122" t="s">
        <v>166</v>
      </c>
      <c r="R180" s="122" t="s">
        <v>167</v>
      </c>
      <c r="S180" s="122" t="s">
        <v>168</v>
      </c>
      <c r="T180" s="122" t="s">
        <v>169</v>
      </c>
      <c r="U180" s="122" t="s">
        <v>170</v>
      </c>
      <c r="V180" s="122" t="s">
        <v>171</v>
      </c>
      <c r="W180" s="122" t="s">
        <v>172</v>
      </c>
      <c r="X180" s="122" t="s">
        <v>173</v>
      </c>
      <c r="Y180" s="122" t="s">
        <v>174</v>
      </c>
      <c r="Z180" s="122" t="s">
        <v>175</v>
      </c>
      <c r="AA180" s="122" t="s">
        <v>176</v>
      </c>
      <c r="AB180" s="122" t="s">
        <v>177</v>
      </c>
      <c r="AC180" s="122" t="s">
        <v>178</v>
      </c>
      <c r="AD180" s="122" t="s">
        <v>179</v>
      </c>
      <c r="AE180" s="122" t="s">
        <v>180</v>
      </c>
      <c r="AF180" s="122" t="s">
        <v>181</v>
      </c>
      <c r="AG180" s="122" t="s">
        <v>182</v>
      </c>
      <c r="AH180" s="122" t="s">
        <v>183</v>
      </c>
      <c r="AI180" s="122" t="s">
        <v>184</v>
      </c>
      <c r="AJ180" s="122" t="s">
        <v>185</v>
      </c>
      <c r="AK180" s="122" t="s">
        <v>186</v>
      </c>
      <c r="AL180" s="122" t="s">
        <v>187</v>
      </c>
      <c r="AM180" s="122" t="s">
        <v>188</v>
      </c>
      <c r="AN180" s="122" t="s">
        <v>189</v>
      </c>
      <c r="AO180" s="122" t="s">
        <v>190</v>
      </c>
      <c r="AP180" s="122" t="s">
        <v>191</v>
      </c>
      <c r="AQ180" s="122" t="s">
        <v>192</v>
      </c>
      <c r="AR180" s="122" t="s">
        <v>193</v>
      </c>
      <c r="AS180" s="122" t="s">
        <v>194</v>
      </c>
      <c r="AT180" s="122" t="s">
        <v>195</v>
      </c>
      <c r="AU180" s="122" t="s">
        <v>196</v>
      </c>
      <c r="AV180" s="122" t="s">
        <v>197</v>
      </c>
      <c r="AW180" s="122" t="s">
        <v>198</v>
      </c>
      <c r="AX180" s="122" t="s">
        <v>199</v>
      </c>
      <c r="AY180" s="122" t="s">
        <v>200</v>
      </c>
      <c r="AZ180" s="122" t="s">
        <v>201</v>
      </c>
      <c r="BA180" s="122" t="s">
        <v>202</v>
      </c>
      <c r="BB180" s="122" t="s">
        <v>203</v>
      </c>
      <c r="BC180" s="122" t="s">
        <v>204</v>
      </c>
      <c r="BD180" s="122" t="s">
        <v>205</v>
      </c>
      <c r="BE180" s="122" t="s">
        <v>206</v>
      </c>
      <c r="BF180" s="122" t="s">
        <v>207</v>
      </c>
      <c r="BG180" s="122" t="s">
        <v>208</v>
      </c>
      <c r="BH180" s="122" t="s">
        <v>209</v>
      </c>
      <c r="BI180" s="123" t="s">
        <v>210</v>
      </c>
      <c r="BJ180" s="124">
        <f t="shared" si="75"/>
        <v>0</v>
      </c>
      <c r="BK180" s="81" t="s">
        <v>151</v>
      </c>
      <c r="BL180" s="81" t="s">
        <v>152</v>
      </c>
      <c r="BM180" s="81" t="s">
        <v>153</v>
      </c>
      <c r="BN180" s="81" t="s">
        <v>154</v>
      </c>
      <c r="BO180" s="81" t="s">
        <v>155</v>
      </c>
    </row>
    <row r="181" spans="1:67" ht="13.4" customHeight="1">
      <c r="A181" s="4" t="s">
        <v>121</v>
      </c>
      <c r="B181" s="27">
        <f ca="1">B51*'Assumption Table'!$C$115</f>
        <v>9104.2815548040799</v>
      </c>
      <c r="C181" s="27">
        <f ca="1">C51*'Assumption Table'!$C$115</f>
        <v>17593.227715551046</v>
      </c>
      <c r="D181" s="27">
        <f ca="1">D51*'Assumption Table'!$C$115</f>
        <v>34356.62451561683</v>
      </c>
      <c r="E181" s="27">
        <f ca="1">E51*'Assumption Table'!$C$115</f>
        <v>24121.981096782034</v>
      </c>
      <c r="F181" s="27">
        <f ca="1">F51*'Assumption Table'!$C$115</f>
        <v>32375.846699438465</v>
      </c>
      <c r="G181" s="27">
        <f ca="1">G51*'Assumption Table'!$C$115</f>
        <v>55489.555254773986</v>
      </c>
      <c r="H181" s="27">
        <f ca="1">H51*'Assumption Table'!$C$115</f>
        <v>53444.407427287384</v>
      </c>
      <c r="I181" s="27">
        <f ca="1">I51*'Assumption Table'!$C$115</f>
        <v>74707.57642576049</v>
      </c>
      <c r="J181" s="27">
        <f ca="1">J51*'Assumption Table'!$C$115</f>
        <v>94341.613998625413</v>
      </c>
      <c r="K181" s="27">
        <f ca="1">K51*'Assumption Table'!$C$115</f>
        <v>93581.328833754073</v>
      </c>
      <c r="L181" s="27">
        <f ca="1">L51*'Assumption Table'!$C$115</f>
        <v>109461.55612615852</v>
      </c>
      <c r="M181" s="27">
        <f ca="1">M51*'Assumption Table'!$C$115</f>
        <v>70090.418354173482</v>
      </c>
      <c r="N181" s="27">
        <f ca="1">N51*'Assumption Table'!$C$115</f>
        <v>147721.07835724985</v>
      </c>
      <c r="O181" s="27">
        <f ca="1">O51*'Assumption Table'!$C$115</f>
        <v>146325.66656307332</v>
      </c>
      <c r="P181" s="27">
        <f ca="1">P51*'Assumption Table'!$C$115</f>
        <v>180592.23179854173</v>
      </c>
      <c r="Q181" s="27">
        <f ca="1">Q51*'Assumption Table'!$C$115</f>
        <v>155961.45596047348</v>
      </c>
      <c r="R181" s="27">
        <f ca="1">R51*'Assumption Table'!$C$115</f>
        <v>177015.26911922541</v>
      </c>
      <c r="S181" s="27">
        <f ca="1">S51*'Assumption Table'!$C$115</f>
        <v>145976.40182896968</v>
      </c>
      <c r="T181" s="27">
        <f ca="1">T51*'Assumption Table'!$C$115</f>
        <v>152570.86278595368</v>
      </c>
      <c r="U181" s="27">
        <f ca="1">U51*'Assumption Table'!$C$115</f>
        <v>142916.78719895016</v>
      </c>
      <c r="V181" s="27">
        <f ca="1">V51*'Assumption Table'!$C$115</f>
        <v>231733.64713685634</v>
      </c>
      <c r="W181" s="27">
        <f ca="1">W51*'Assumption Table'!$C$115</f>
        <v>260155.41955767327</v>
      </c>
      <c r="X181" s="27">
        <f ca="1">X51*'Assumption Table'!$C$115</f>
        <v>243630.65559117193</v>
      </c>
      <c r="Y181" s="27">
        <f ca="1">Y51*'Assumption Table'!$C$115</f>
        <v>174415.58587550046</v>
      </c>
      <c r="Z181" s="27">
        <f ca="1">Z51*'Assumption Table'!$C$115</f>
        <v>344654.33331223467</v>
      </c>
      <c r="AA181" s="27">
        <f ca="1">AA51*'Assumption Table'!$C$115</f>
        <v>269177.32869942009</v>
      </c>
      <c r="AB181" s="27">
        <f ca="1">AB51*'Assumption Table'!$C$115</f>
        <v>242368.06158463965</v>
      </c>
      <c r="AC181" s="27">
        <f ca="1">AC51*'Assumption Table'!$C$115</f>
        <v>372454.72844167677</v>
      </c>
      <c r="AD181" s="27">
        <f ca="1">AD51*'Assumption Table'!$C$115</f>
        <v>234075.73655031549</v>
      </c>
      <c r="AE181" s="27">
        <f ca="1">AE51*'Assumption Table'!$C$115</f>
        <v>408642.38780737412</v>
      </c>
      <c r="AF181" s="27">
        <f ca="1">AF51*'Assumption Table'!$C$115</f>
        <v>265677.2619840437</v>
      </c>
      <c r="AG181" s="27">
        <f ca="1">AG51*'Assumption Table'!$C$115</f>
        <v>178650.71848314186</v>
      </c>
      <c r="AH181" s="27">
        <f ca="1">AH51*'Assumption Table'!$C$115</f>
        <v>210389.03609398214</v>
      </c>
      <c r="AI181" s="27">
        <f ca="1">AI51*'Assumption Table'!$C$115</f>
        <v>301268.79896600888</v>
      </c>
      <c r="AJ181" s="27">
        <f ca="1">AJ51*'Assumption Table'!$C$115</f>
        <v>633950.80061249051</v>
      </c>
      <c r="AK181" s="27">
        <f ca="1">AK51*'Assumption Table'!$C$115</f>
        <v>329152.30981527967</v>
      </c>
      <c r="AL181" s="27">
        <f ca="1">AL51*'Assumption Table'!$C$115</f>
        <v>514230.06098273746</v>
      </c>
      <c r="AM181" s="27">
        <f ca="1">AM51*'Assumption Table'!$C$115</f>
        <v>559239.32540823496</v>
      </c>
      <c r="AN181" s="27">
        <f ca="1">AN51*'Assumption Table'!$C$115</f>
        <v>444938.75667432073</v>
      </c>
      <c r="AO181" s="27">
        <f ca="1">AO51*'Assumption Table'!$C$115</f>
        <v>213509.85552878599</v>
      </c>
      <c r="AP181" s="27">
        <f ca="1">AP51*'Assumption Table'!$C$115</f>
        <v>264288.77055479726</v>
      </c>
      <c r="AQ181" s="27">
        <f ca="1">AQ51*'Assumption Table'!$C$115</f>
        <v>393125.38788035524</v>
      </c>
      <c r="AR181" s="27">
        <f ca="1">AR51*'Assumption Table'!$C$115</f>
        <v>245517.22195248853</v>
      </c>
      <c r="AS181" s="27">
        <f ca="1">AS51*'Assumption Table'!$C$115</f>
        <v>555214.62558639038</v>
      </c>
      <c r="AT181" s="27">
        <f ca="1">AT51*'Assumption Table'!$C$115</f>
        <v>570930.12269249884</v>
      </c>
      <c r="AU181" s="27">
        <f ca="1">AU51*'Assumption Table'!$C$115</f>
        <v>516588.7247596684</v>
      </c>
      <c r="AV181" s="27">
        <f ca="1">AV51*'Assumption Table'!$C$115</f>
        <v>566316.84145235491</v>
      </c>
      <c r="AW181" s="27">
        <f ca="1">AW51*'Assumption Table'!$C$115</f>
        <v>625913.14171103144</v>
      </c>
      <c r="AX181" s="27">
        <f ca="1">AX51*'Assumption Table'!$C$115</f>
        <v>560612.22862183617</v>
      </c>
      <c r="AY181" s="27">
        <f ca="1">AY51*'Assumption Table'!$C$115</f>
        <v>447107.16872617754</v>
      </c>
      <c r="AZ181" s="27">
        <f ca="1">AZ51*'Assumption Table'!$C$115</f>
        <v>630628.98858020501</v>
      </c>
      <c r="BA181" s="27">
        <f ca="1">BA51*'Assumption Table'!$C$115</f>
        <v>405449.86311831651</v>
      </c>
      <c r="BB181" s="27">
        <f ca="1">BB51*'Assumption Table'!$C$115</f>
        <v>555418.09144301864</v>
      </c>
      <c r="BC181" s="27">
        <f ca="1">BC51*'Assumption Table'!$C$115</f>
        <v>802740.8285413417</v>
      </c>
      <c r="BD181" s="27">
        <f ca="1">BD51*'Assumption Table'!$C$115</f>
        <v>803294.72082409868</v>
      </c>
      <c r="BE181" s="27">
        <f ca="1">BE51*'Assumption Table'!$C$115</f>
        <v>1068090.3746485424</v>
      </c>
      <c r="BF181" s="27">
        <f ca="1">BF51*'Assumption Table'!$C$115</f>
        <v>1066095.4188043326</v>
      </c>
      <c r="BG181" s="27">
        <f ca="1">BG51*'Assumption Table'!$C$115</f>
        <v>961700.29708469124</v>
      </c>
      <c r="BH181" s="27">
        <f ca="1">BH51*'Assumption Table'!$C$115</f>
        <v>562105.86929273431</v>
      </c>
      <c r="BI181" s="97">
        <f ca="1">BI51*'Assumption Table'!$C$115</f>
        <v>958603.11414486601</v>
      </c>
      <c r="BJ181" s="17" t="str">
        <f t="shared" si="75"/>
        <v>Cash and ST Investments</v>
      </c>
      <c r="BK181" s="139">
        <f t="shared" ref="BK181:BK188" ca="1" si="104">SUMIFS($B181:$BI181,$B$4:$BI$4,"&lt;=12")</f>
        <v>668668.41800272581</v>
      </c>
      <c r="BL181" s="139">
        <f t="shared" ref="BL181:BL188" ca="1" si="105">SUMIFS($B181:$BI181,$B$4:$BI$4,"&lt;=24",$B$4:$BI$4,"&gt;12")</f>
        <v>2159015.0617736392</v>
      </c>
      <c r="BM181" s="139">
        <f t="shared" ref="BM181:BM188" ca="1" si="106">SUMIFS($B181:$BI181,$B$4:$BI$4,"&lt;=36",$B$4:$BI$4,"&gt;24")</f>
        <v>3790461.502350607</v>
      </c>
      <c r="BN181" s="139">
        <f t="shared" ref="BN181:BN188" ca="1" si="107">SUMIFS($B181:$BI181,$B$4:$BI$4,"&lt;=48",$B$4:$BI$4,"&gt;36")</f>
        <v>5469812.8351836633</v>
      </c>
      <c r="BO181" s="139">
        <f t="shared" ref="BO181:BO188" ca="1" si="108">SUMIFS($B181:$BI181,$B$4:$BI$4,"&lt;=60",$B$4:$BI$4,"&gt;48")</f>
        <v>8821846.96383016</v>
      </c>
    </row>
    <row r="182" spans="1:67" ht="13.4" customHeight="1">
      <c r="A182" s="4" t="s">
        <v>260</v>
      </c>
      <c r="B182" s="27">
        <f ca="1">B51*'Assumption Table'!$C$116</f>
        <v>18208.56310960816</v>
      </c>
      <c r="C182" s="27">
        <f ca="1">C51*'Assumption Table'!$C$116</f>
        <v>35186.455431102091</v>
      </c>
      <c r="D182" s="27">
        <f ca="1">D51*'Assumption Table'!$C$116</f>
        <v>68713.249031233659</v>
      </c>
      <c r="E182" s="27">
        <f ca="1">E51*'Assumption Table'!$C$116</f>
        <v>48243.962193564068</v>
      </c>
      <c r="F182" s="27">
        <f ca="1">F51*'Assumption Table'!$C$116</f>
        <v>64751.693398876931</v>
      </c>
      <c r="G182" s="27">
        <f ca="1">G51*'Assumption Table'!$C$116</f>
        <v>110979.11050954797</v>
      </c>
      <c r="H182" s="27">
        <f ca="1">H51*'Assumption Table'!$C$116</f>
        <v>106888.81485457477</v>
      </c>
      <c r="I182" s="27">
        <f ca="1">I51*'Assumption Table'!$C$116</f>
        <v>149415.15285152098</v>
      </c>
      <c r="J182" s="27">
        <f ca="1">J51*'Assumption Table'!$C$116</f>
        <v>188683.22799725083</v>
      </c>
      <c r="K182" s="27">
        <f ca="1">K51*'Assumption Table'!$C$116</f>
        <v>187162.65766750815</v>
      </c>
      <c r="L182" s="27">
        <f ca="1">L51*'Assumption Table'!$C$116</f>
        <v>218923.11225231705</v>
      </c>
      <c r="M182" s="27">
        <f ca="1">M51*'Assumption Table'!$C$116</f>
        <v>140180.83670834696</v>
      </c>
      <c r="N182" s="27">
        <f ca="1">N51*'Assumption Table'!$C$116</f>
        <v>295442.1567144997</v>
      </c>
      <c r="O182" s="27">
        <f ca="1">O51*'Assumption Table'!$C$116</f>
        <v>292651.33312614664</v>
      </c>
      <c r="P182" s="27">
        <f ca="1">P51*'Assumption Table'!$C$116</f>
        <v>361184.46359708346</v>
      </c>
      <c r="Q182" s="27">
        <f ca="1">Q51*'Assumption Table'!$C$116</f>
        <v>311922.91192094696</v>
      </c>
      <c r="R182" s="27">
        <f ca="1">R51*'Assumption Table'!$C$116</f>
        <v>354030.53823845083</v>
      </c>
      <c r="S182" s="27">
        <f ca="1">S51*'Assumption Table'!$C$116</f>
        <v>291952.80365793937</v>
      </c>
      <c r="T182" s="27">
        <f ca="1">T51*'Assumption Table'!$C$116</f>
        <v>305141.72557190736</v>
      </c>
      <c r="U182" s="27">
        <f ca="1">U51*'Assumption Table'!$C$116</f>
        <v>285833.57439790032</v>
      </c>
      <c r="V182" s="27">
        <f ca="1">V51*'Assumption Table'!$C$116</f>
        <v>463467.29427371267</v>
      </c>
      <c r="W182" s="27">
        <f ca="1">W51*'Assumption Table'!$C$116</f>
        <v>520310.83911534655</v>
      </c>
      <c r="X182" s="27">
        <f ca="1">X51*'Assumption Table'!$C$116</f>
        <v>487261.31118234387</v>
      </c>
      <c r="Y182" s="27">
        <f ca="1">Y51*'Assumption Table'!$C$116</f>
        <v>348831.17175100092</v>
      </c>
      <c r="Z182" s="27">
        <f ca="1">Z51*'Assumption Table'!$C$116</f>
        <v>689308.66662446933</v>
      </c>
      <c r="AA182" s="27">
        <f ca="1">AA51*'Assumption Table'!$C$116</f>
        <v>538354.65739884018</v>
      </c>
      <c r="AB182" s="27">
        <f ca="1">AB51*'Assumption Table'!$C$116</f>
        <v>484736.12316927931</v>
      </c>
      <c r="AC182" s="27">
        <f ca="1">AC51*'Assumption Table'!$C$116</f>
        <v>744909.45688335353</v>
      </c>
      <c r="AD182" s="27">
        <f ca="1">AD51*'Assumption Table'!$C$116</f>
        <v>468151.47310063097</v>
      </c>
      <c r="AE182" s="27">
        <f ca="1">AE51*'Assumption Table'!$C$116</f>
        <v>817284.77561474824</v>
      </c>
      <c r="AF182" s="27">
        <f ca="1">AF51*'Assumption Table'!$C$116</f>
        <v>531354.52396808739</v>
      </c>
      <c r="AG182" s="27">
        <f ca="1">AG51*'Assumption Table'!$C$116</f>
        <v>357301.43696628371</v>
      </c>
      <c r="AH182" s="27">
        <f ca="1">AH51*'Assumption Table'!$C$116</f>
        <v>420778.07218796428</v>
      </c>
      <c r="AI182" s="27">
        <f ca="1">AI51*'Assumption Table'!$C$116</f>
        <v>602537.59793201776</v>
      </c>
      <c r="AJ182" s="27">
        <f ca="1">AJ51*'Assumption Table'!$C$116</f>
        <v>1267901.601224981</v>
      </c>
      <c r="AK182" s="27">
        <f ca="1">AK51*'Assumption Table'!$C$116</f>
        <v>658304.61963055935</v>
      </c>
      <c r="AL182" s="27">
        <f ca="1">AL51*'Assumption Table'!$C$116</f>
        <v>1028460.1219654749</v>
      </c>
      <c r="AM182" s="27">
        <f ca="1">AM51*'Assumption Table'!$C$116</f>
        <v>1118478.6508164699</v>
      </c>
      <c r="AN182" s="27">
        <f ca="1">AN51*'Assumption Table'!$C$116</f>
        <v>889877.51334864146</v>
      </c>
      <c r="AO182" s="27">
        <f ca="1">AO51*'Assumption Table'!$C$116</f>
        <v>427019.71105757199</v>
      </c>
      <c r="AP182" s="27">
        <f ca="1">AP51*'Assumption Table'!$C$116</f>
        <v>528577.54110959452</v>
      </c>
      <c r="AQ182" s="27">
        <f ca="1">AQ51*'Assumption Table'!$C$116</f>
        <v>786250.77576071047</v>
      </c>
      <c r="AR182" s="27">
        <f ca="1">AR51*'Assumption Table'!$C$116</f>
        <v>491034.44390497706</v>
      </c>
      <c r="AS182" s="27">
        <f ca="1">AS51*'Assumption Table'!$C$116</f>
        <v>1110429.2511727808</v>
      </c>
      <c r="AT182" s="27">
        <f ca="1">AT51*'Assumption Table'!$C$116</f>
        <v>1141860.2453849977</v>
      </c>
      <c r="AU182" s="27">
        <f ca="1">AU51*'Assumption Table'!$C$116</f>
        <v>1033177.4495193368</v>
      </c>
      <c r="AV182" s="27">
        <f ca="1">AV51*'Assumption Table'!$C$116</f>
        <v>1132633.6829047098</v>
      </c>
      <c r="AW182" s="27">
        <f ca="1">AW51*'Assumption Table'!$C$116</f>
        <v>1251826.2834220629</v>
      </c>
      <c r="AX182" s="27">
        <f ca="1">AX51*'Assumption Table'!$C$116</f>
        <v>1121224.4572436723</v>
      </c>
      <c r="AY182" s="27">
        <f ca="1">AY51*'Assumption Table'!$C$116</f>
        <v>894214.33745235507</v>
      </c>
      <c r="AZ182" s="27">
        <f ca="1">AZ51*'Assumption Table'!$C$116</f>
        <v>1261257.97716041</v>
      </c>
      <c r="BA182" s="27">
        <f ca="1">BA51*'Assumption Table'!$C$116</f>
        <v>810899.72623663303</v>
      </c>
      <c r="BB182" s="27">
        <f ca="1">BB51*'Assumption Table'!$C$116</f>
        <v>1110836.1828860373</v>
      </c>
      <c r="BC182" s="27">
        <f ca="1">BC51*'Assumption Table'!$C$116</f>
        <v>1605481.6570826834</v>
      </c>
      <c r="BD182" s="27">
        <f ca="1">BD51*'Assumption Table'!$C$116</f>
        <v>1606589.4416481974</v>
      </c>
      <c r="BE182" s="27">
        <f ca="1">BE51*'Assumption Table'!$C$116</f>
        <v>2136180.7492970848</v>
      </c>
      <c r="BF182" s="27">
        <f ca="1">BF51*'Assumption Table'!$C$116</f>
        <v>2132190.8376086652</v>
      </c>
      <c r="BG182" s="27">
        <f ca="1">BG51*'Assumption Table'!$C$116</f>
        <v>1923400.5941693825</v>
      </c>
      <c r="BH182" s="27">
        <f ca="1">BH51*'Assumption Table'!$C$116</f>
        <v>1124211.7385854686</v>
      </c>
      <c r="BI182" s="97">
        <f ca="1">BI51*'Assumption Table'!$C$116</f>
        <v>1917206.228289732</v>
      </c>
      <c r="BJ182" s="17" t="str">
        <f t="shared" si="75"/>
        <v>Accounts Receivable: Revenue</v>
      </c>
      <c r="BK182" s="115">
        <f t="shared" ca="1" si="104"/>
        <v>1337336.8360054516</v>
      </c>
      <c r="BL182" s="115">
        <f t="shared" ca="1" si="105"/>
        <v>4318030.1235472783</v>
      </c>
      <c r="BM182" s="115">
        <f t="shared" ca="1" si="106"/>
        <v>7580923.0047012139</v>
      </c>
      <c r="BN182" s="115">
        <f t="shared" ca="1" si="107"/>
        <v>10939625.670367327</v>
      </c>
      <c r="BO182" s="115">
        <f t="shared" ca="1" si="108"/>
        <v>17643693.92766032</v>
      </c>
    </row>
    <row r="183" spans="1:67" ht="13.4" customHeight="1">
      <c r="A183" s="4" t="s">
        <v>124</v>
      </c>
      <c r="B183" s="27">
        <f ca="1">B51*'Assumption Table'!$C$117</f>
        <v>910.4281554804079</v>
      </c>
      <c r="C183" s="27">
        <f ca="1">C51*'Assumption Table'!$C$117</f>
        <v>1759.3227715551045</v>
      </c>
      <c r="D183" s="27">
        <f ca="1">D51*'Assumption Table'!$C$117</f>
        <v>3435.6624515616832</v>
      </c>
      <c r="E183" s="27">
        <f ca="1">E51*'Assumption Table'!$C$117</f>
        <v>2412.1981096782033</v>
      </c>
      <c r="F183" s="27">
        <f ca="1">F51*'Assumption Table'!$C$117</f>
        <v>3237.5846699438466</v>
      </c>
      <c r="G183" s="27">
        <f ca="1">G51*'Assumption Table'!$C$117</f>
        <v>5548.9555254773986</v>
      </c>
      <c r="H183" s="27">
        <f ca="1">H51*'Assumption Table'!$C$117</f>
        <v>5344.4407427287379</v>
      </c>
      <c r="I183" s="27">
        <f ca="1">I51*'Assumption Table'!$C$117</f>
        <v>7470.757642576049</v>
      </c>
      <c r="J183" s="27">
        <f ca="1">J51*'Assumption Table'!$C$117</f>
        <v>9434.1613998625398</v>
      </c>
      <c r="K183" s="27">
        <f ca="1">K51*'Assumption Table'!$C$117</f>
        <v>9358.1328833754069</v>
      </c>
      <c r="L183" s="27">
        <f ca="1">L51*'Assumption Table'!$C$117</f>
        <v>10946.155612615852</v>
      </c>
      <c r="M183" s="27">
        <f ca="1">M51*'Assumption Table'!$C$117</f>
        <v>7009.041835417348</v>
      </c>
      <c r="N183" s="27">
        <f ca="1">N51*'Assumption Table'!$C$117</f>
        <v>14772.107835724984</v>
      </c>
      <c r="O183" s="27">
        <f ca="1">O51*'Assumption Table'!$C$117</f>
        <v>14632.566656307332</v>
      </c>
      <c r="P183" s="27">
        <f ca="1">P51*'Assumption Table'!$C$117</f>
        <v>18059.223179854172</v>
      </c>
      <c r="Q183" s="27">
        <f ca="1">Q51*'Assumption Table'!$C$117</f>
        <v>15596.145596047347</v>
      </c>
      <c r="R183" s="27">
        <f ca="1">R51*'Assumption Table'!$C$117</f>
        <v>17701.526911922541</v>
      </c>
      <c r="S183" s="27">
        <f ca="1">S51*'Assumption Table'!$C$117</f>
        <v>14597.640182896967</v>
      </c>
      <c r="T183" s="27">
        <f ca="1">T51*'Assumption Table'!$C$117</f>
        <v>15257.086278595369</v>
      </c>
      <c r="U183" s="27">
        <f ca="1">U51*'Assumption Table'!$C$117</f>
        <v>14291.678719895017</v>
      </c>
      <c r="V183" s="27">
        <f ca="1">V51*'Assumption Table'!$C$117</f>
        <v>23173.364713685634</v>
      </c>
      <c r="W183" s="27">
        <f ca="1">W51*'Assumption Table'!$C$117</f>
        <v>26015.541955767327</v>
      </c>
      <c r="X183" s="27">
        <f ca="1">X51*'Assumption Table'!$C$117</f>
        <v>24363.065559117193</v>
      </c>
      <c r="Y183" s="27">
        <f ca="1">Y51*'Assumption Table'!$C$117</f>
        <v>17441.558587550047</v>
      </c>
      <c r="Z183" s="27">
        <f ca="1">Z51*'Assumption Table'!$C$117</f>
        <v>34465.433331223467</v>
      </c>
      <c r="AA183" s="27">
        <f ca="1">AA51*'Assumption Table'!$C$117</f>
        <v>26917.732869942007</v>
      </c>
      <c r="AB183" s="27">
        <f ca="1">AB51*'Assumption Table'!$C$117</f>
        <v>24236.806158463965</v>
      </c>
      <c r="AC183" s="27">
        <f ca="1">AC51*'Assumption Table'!$C$117</f>
        <v>37245.472844167671</v>
      </c>
      <c r="AD183" s="27">
        <f ca="1">AD51*'Assumption Table'!$C$117</f>
        <v>23407.573655031549</v>
      </c>
      <c r="AE183" s="27">
        <f ca="1">AE51*'Assumption Table'!$C$117</f>
        <v>40864.238780737411</v>
      </c>
      <c r="AF183" s="27">
        <f ca="1">AF51*'Assumption Table'!$C$117</f>
        <v>26567.726198404373</v>
      </c>
      <c r="AG183" s="27">
        <f ca="1">AG51*'Assumption Table'!$C$117</f>
        <v>17865.071848314183</v>
      </c>
      <c r="AH183" s="27">
        <f ca="1">AH51*'Assumption Table'!$C$117</f>
        <v>21038.903609398214</v>
      </c>
      <c r="AI183" s="27">
        <f ca="1">AI51*'Assumption Table'!$C$117</f>
        <v>30126.879896600884</v>
      </c>
      <c r="AJ183" s="27">
        <f ca="1">AJ51*'Assumption Table'!$C$117</f>
        <v>63395.080061249042</v>
      </c>
      <c r="AK183" s="27">
        <f ca="1">AK51*'Assumption Table'!$C$117</f>
        <v>32915.230981527966</v>
      </c>
      <c r="AL183" s="27">
        <f ca="1">AL51*'Assumption Table'!$C$117</f>
        <v>51423.006098273741</v>
      </c>
      <c r="AM183" s="27">
        <f ca="1">AM51*'Assumption Table'!$C$117</f>
        <v>55923.932540823494</v>
      </c>
      <c r="AN183" s="27">
        <f ca="1">AN51*'Assumption Table'!$C$117</f>
        <v>44493.875667432076</v>
      </c>
      <c r="AO183" s="27">
        <f ca="1">AO51*'Assumption Table'!$C$117</f>
        <v>21350.985552878599</v>
      </c>
      <c r="AP183" s="27">
        <f ca="1">AP51*'Assumption Table'!$C$117</f>
        <v>26428.877055479727</v>
      </c>
      <c r="AQ183" s="27">
        <f ca="1">AQ51*'Assumption Table'!$C$117</f>
        <v>39312.538788035519</v>
      </c>
      <c r="AR183" s="27">
        <f ca="1">AR51*'Assumption Table'!$C$117</f>
        <v>24551.722195248851</v>
      </c>
      <c r="AS183" s="27">
        <f ca="1">AS51*'Assumption Table'!$C$117</f>
        <v>55521.462558639039</v>
      </c>
      <c r="AT183" s="27">
        <f ca="1">AT51*'Assumption Table'!$C$117</f>
        <v>57093.012269249884</v>
      </c>
      <c r="AU183" s="27">
        <f ca="1">AU51*'Assumption Table'!$C$117</f>
        <v>51658.87247596684</v>
      </c>
      <c r="AV183" s="27">
        <f ca="1">AV51*'Assumption Table'!$C$117</f>
        <v>56631.684145235493</v>
      </c>
      <c r="AW183" s="27">
        <f ca="1">AW51*'Assumption Table'!$C$117</f>
        <v>62591.314171103135</v>
      </c>
      <c r="AX183" s="27">
        <f ca="1">AX51*'Assumption Table'!$C$117</f>
        <v>56061.222862183611</v>
      </c>
      <c r="AY183" s="27">
        <f ca="1">AY51*'Assumption Table'!$C$117</f>
        <v>44710.716872617755</v>
      </c>
      <c r="AZ183" s="27">
        <f ca="1">AZ51*'Assumption Table'!$C$117</f>
        <v>63062.898858020497</v>
      </c>
      <c r="BA183" s="27">
        <f ca="1">BA51*'Assumption Table'!$C$117</f>
        <v>40544.98631183165</v>
      </c>
      <c r="BB183" s="27">
        <f ca="1">BB51*'Assumption Table'!$C$117</f>
        <v>55541.809144301864</v>
      </c>
      <c r="BC183" s="27">
        <f ca="1">BC51*'Assumption Table'!$C$117</f>
        <v>80274.082854134162</v>
      </c>
      <c r="BD183" s="27">
        <f ca="1">BD51*'Assumption Table'!$C$117</f>
        <v>80329.472082409862</v>
      </c>
      <c r="BE183" s="27">
        <f ca="1">BE51*'Assumption Table'!$C$117</f>
        <v>106809.03746485423</v>
      </c>
      <c r="BF183" s="27">
        <f ca="1">BF51*'Assumption Table'!$C$117</f>
        <v>106609.54188043326</v>
      </c>
      <c r="BG183" s="27">
        <f ca="1">BG51*'Assumption Table'!$C$117</f>
        <v>96170.029708469126</v>
      </c>
      <c r="BH183" s="27">
        <f ca="1">BH51*'Assumption Table'!$C$117</f>
        <v>56210.586929273428</v>
      </c>
      <c r="BI183" s="97">
        <f ca="1">BI51*'Assumption Table'!$C$117</f>
        <v>95860.311414486598</v>
      </c>
      <c r="BJ183" s="17" t="str">
        <f t="shared" si="75"/>
        <v>Inventories</v>
      </c>
      <c r="BK183" s="115">
        <f t="shared" ca="1" si="104"/>
        <v>66866.841800272581</v>
      </c>
      <c r="BL183" s="115">
        <f t="shared" ca="1" si="105"/>
        <v>215901.50617736392</v>
      </c>
      <c r="BM183" s="115">
        <f t="shared" ca="1" si="106"/>
        <v>379046.15023506072</v>
      </c>
      <c r="BN183" s="115">
        <f t="shared" ca="1" si="107"/>
        <v>546981.2835183664</v>
      </c>
      <c r="BO183" s="115">
        <f t="shared" ca="1" si="108"/>
        <v>882184.69638301607</v>
      </c>
    </row>
    <row r="184" spans="1:67" ht="13.4" customHeight="1">
      <c r="A184" s="4" t="s">
        <v>125</v>
      </c>
      <c r="B184" s="27">
        <f ca="1">B51*'Assumption Table'!$C$118</f>
        <v>3641.7126219216316</v>
      </c>
      <c r="C184" s="27">
        <f ca="1">C51*'Assumption Table'!$C$118</f>
        <v>7037.291086220418</v>
      </c>
      <c r="D184" s="27">
        <f ca="1">D51*'Assumption Table'!$C$118</f>
        <v>13742.649806246733</v>
      </c>
      <c r="E184" s="27">
        <f ca="1">E51*'Assumption Table'!$C$118</f>
        <v>9648.7924387128132</v>
      </c>
      <c r="F184" s="27">
        <f ca="1">F51*'Assumption Table'!$C$118</f>
        <v>12950.338679775386</v>
      </c>
      <c r="G184" s="27">
        <f ca="1">G51*'Assumption Table'!$C$118</f>
        <v>22195.822101909594</v>
      </c>
      <c r="H184" s="27">
        <f ca="1">H51*'Assumption Table'!$C$118</f>
        <v>21377.762970914951</v>
      </c>
      <c r="I184" s="27">
        <f ca="1">I51*'Assumption Table'!$C$118</f>
        <v>29883.030570304196</v>
      </c>
      <c r="J184" s="27">
        <f ca="1">J51*'Assumption Table'!$C$118</f>
        <v>37736.645599450159</v>
      </c>
      <c r="K184" s="27">
        <f ca="1">K51*'Assumption Table'!$C$118</f>
        <v>37432.531533501628</v>
      </c>
      <c r="L184" s="27">
        <f ca="1">L51*'Assumption Table'!$C$118</f>
        <v>43784.622450463408</v>
      </c>
      <c r="M184" s="27">
        <f ca="1">M51*'Assumption Table'!$C$118</f>
        <v>28036.167341669392</v>
      </c>
      <c r="N184" s="27">
        <f ca="1">N51*'Assumption Table'!$C$118</f>
        <v>59088.431342899938</v>
      </c>
      <c r="O184" s="27">
        <f ca="1">O51*'Assumption Table'!$C$118</f>
        <v>58530.266625229327</v>
      </c>
      <c r="P184" s="27">
        <f ca="1">P51*'Assumption Table'!$C$118</f>
        <v>72236.89271941669</v>
      </c>
      <c r="Q184" s="27">
        <f ca="1">Q51*'Assumption Table'!$C$118</f>
        <v>62384.582384189387</v>
      </c>
      <c r="R184" s="27">
        <f ca="1">R51*'Assumption Table'!$C$118</f>
        <v>70806.107647690165</v>
      </c>
      <c r="S184" s="27">
        <f ca="1">S51*'Assumption Table'!$C$118</f>
        <v>58390.560731587866</v>
      </c>
      <c r="T184" s="27">
        <f ca="1">T51*'Assumption Table'!$C$118</f>
        <v>61028.345114381475</v>
      </c>
      <c r="U184" s="27">
        <f ca="1">U51*'Assumption Table'!$C$118</f>
        <v>57166.714879580068</v>
      </c>
      <c r="V184" s="27">
        <f ca="1">V51*'Assumption Table'!$C$118</f>
        <v>92693.458854742537</v>
      </c>
      <c r="W184" s="27">
        <f ca="1">W51*'Assumption Table'!$C$118</f>
        <v>104062.16782306931</v>
      </c>
      <c r="X184" s="27">
        <f ca="1">X51*'Assumption Table'!$C$118</f>
        <v>97452.26223646877</v>
      </c>
      <c r="Y184" s="27">
        <f ca="1">Y51*'Assumption Table'!$C$118</f>
        <v>69766.23435020019</v>
      </c>
      <c r="Z184" s="27">
        <f ca="1">Z51*'Assumption Table'!$C$118</f>
        <v>137861.73332489387</v>
      </c>
      <c r="AA184" s="27">
        <f ca="1">AA51*'Assumption Table'!$C$118</f>
        <v>107670.93147976803</v>
      </c>
      <c r="AB184" s="27">
        <f ca="1">AB51*'Assumption Table'!$C$118</f>
        <v>96947.224633855862</v>
      </c>
      <c r="AC184" s="27">
        <f ca="1">AC51*'Assumption Table'!$C$118</f>
        <v>148981.89137667068</v>
      </c>
      <c r="AD184" s="27">
        <f ca="1">AD51*'Assumption Table'!$C$118</f>
        <v>93630.294620126195</v>
      </c>
      <c r="AE184" s="27">
        <f ca="1">AE51*'Assumption Table'!$C$118</f>
        <v>163456.95512294964</v>
      </c>
      <c r="AF184" s="27">
        <f ca="1">AF51*'Assumption Table'!$C$118</f>
        <v>106270.90479361749</v>
      </c>
      <c r="AG184" s="27">
        <f ca="1">AG51*'Assumption Table'!$C$118</f>
        <v>71460.287393256731</v>
      </c>
      <c r="AH184" s="27">
        <f ca="1">AH51*'Assumption Table'!$C$118</f>
        <v>84155.614437592856</v>
      </c>
      <c r="AI184" s="27">
        <f ca="1">AI51*'Assumption Table'!$C$118</f>
        <v>120507.51958640353</v>
      </c>
      <c r="AJ184" s="27">
        <f ca="1">AJ51*'Assumption Table'!$C$118</f>
        <v>253580.32024499617</v>
      </c>
      <c r="AK184" s="27">
        <f ca="1">AK51*'Assumption Table'!$C$118</f>
        <v>131660.92392611186</v>
      </c>
      <c r="AL184" s="27">
        <f ca="1">AL51*'Assumption Table'!$C$118</f>
        <v>205692.02439309497</v>
      </c>
      <c r="AM184" s="27">
        <f ca="1">AM51*'Assumption Table'!$C$118</f>
        <v>223695.73016329398</v>
      </c>
      <c r="AN184" s="27">
        <f ca="1">AN51*'Assumption Table'!$C$118</f>
        <v>177975.5026697283</v>
      </c>
      <c r="AO184" s="27">
        <f ca="1">AO51*'Assumption Table'!$C$118</f>
        <v>85403.942211514397</v>
      </c>
      <c r="AP184" s="27">
        <f ca="1">AP51*'Assumption Table'!$C$118</f>
        <v>105715.50822191891</v>
      </c>
      <c r="AQ184" s="27">
        <f ca="1">AQ51*'Assumption Table'!$C$118</f>
        <v>157250.15515214208</v>
      </c>
      <c r="AR184" s="27">
        <f ca="1">AR51*'Assumption Table'!$C$118</f>
        <v>98206.888780995403</v>
      </c>
      <c r="AS184" s="27">
        <f ca="1">AS51*'Assumption Table'!$C$118</f>
        <v>222085.85023455616</v>
      </c>
      <c r="AT184" s="27">
        <f ca="1">AT51*'Assumption Table'!$C$118</f>
        <v>228372.04907699954</v>
      </c>
      <c r="AU184" s="27">
        <f ca="1">AU51*'Assumption Table'!$C$118</f>
        <v>206635.48990386736</v>
      </c>
      <c r="AV184" s="27">
        <f ca="1">AV51*'Assumption Table'!$C$118</f>
        <v>226526.73658094197</v>
      </c>
      <c r="AW184" s="27">
        <f ca="1">AW51*'Assumption Table'!$C$118</f>
        <v>250365.25668441254</v>
      </c>
      <c r="AX184" s="27">
        <f ca="1">AX51*'Assumption Table'!$C$118</f>
        <v>224244.89144873444</v>
      </c>
      <c r="AY184" s="27">
        <f ca="1">AY51*'Assumption Table'!$C$118</f>
        <v>178842.86749047102</v>
      </c>
      <c r="AZ184" s="27">
        <f ca="1">AZ51*'Assumption Table'!$C$118</f>
        <v>252251.59543208199</v>
      </c>
      <c r="BA184" s="27">
        <f ca="1">BA51*'Assumption Table'!$C$118</f>
        <v>162179.9452473266</v>
      </c>
      <c r="BB184" s="27">
        <f ca="1">BB51*'Assumption Table'!$C$118</f>
        <v>222167.23657720746</v>
      </c>
      <c r="BC184" s="27">
        <f ca="1">BC51*'Assumption Table'!$C$118</f>
        <v>321096.33141653665</v>
      </c>
      <c r="BD184" s="27">
        <f ca="1">BD51*'Assumption Table'!$C$118</f>
        <v>321317.88832963945</v>
      </c>
      <c r="BE184" s="27">
        <f ca="1">BE51*'Assumption Table'!$C$118</f>
        <v>427236.14985941694</v>
      </c>
      <c r="BF184" s="27">
        <f ca="1">BF51*'Assumption Table'!$C$118</f>
        <v>426438.16752173303</v>
      </c>
      <c r="BG184" s="27">
        <f ca="1">BG51*'Assumption Table'!$C$118</f>
        <v>384680.11883387651</v>
      </c>
      <c r="BH184" s="27">
        <f ca="1">BH51*'Assumption Table'!$C$118</f>
        <v>224842.34771709371</v>
      </c>
      <c r="BI184" s="97">
        <f ca="1">BI51*'Assumption Table'!$C$118</f>
        <v>383441.24565794639</v>
      </c>
      <c r="BJ184" s="17" t="str">
        <f t="shared" si="75"/>
        <v>Other Current Assets</v>
      </c>
      <c r="BK184" s="115">
        <f t="shared" ca="1" si="104"/>
        <v>267467.36720109032</v>
      </c>
      <c r="BL184" s="115">
        <f t="shared" ca="1" si="105"/>
        <v>863606.02470945567</v>
      </c>
      <c r="BM184" s="115">
        <f t="shared" ca="1" si="106"/>
        <v>1516184.6009402429</v>
      </c>
      <c r="BN184" s="115">
        <f t="shared" ca="1" si="107"/>
        <v>2187925.1340734656</v>
      </c>
      <c r="BO184" s="115">
        <f t="shared" ca="1" si="108"/>
        <v>3528738.7855320643</v>
      </c>
    </row>
    <row r="185" spans="1:67" ht="13.4" customHeight="1">
      <c r="A185" s="4" t="s">
        <v>261</v>
      </c>
      <c r="B185" s="27">
        <f ca="1">B63*'Assumption Table'!$C$119</f>
        <v>6965.7329370696143</v>
      </c>
      <c r="C185" s="27">
        <f ca="1">C63*'Assumption Table'!$C$119</f>
        <v>14062.327032892799</v>
      </c>
      <c r="D185" s="27">
        <f ca="1">D63*'Assumption Table'!$C$119</f>
        <v>25853.811323662929</v>
      </c>
      <c r="E185" s="27">
        <f ca="1">E63*'Assumption Table'!$C$119</f>
        <v>19806.715586389735</v>
      </c>
      <c r="F185" s="27">
        <f ca="1">F63*'Assumption Table'!$C$119</f>
        <v>28449.925913874587</v>
      </c>
      <c r="G185" s="27">
        <f ca="1">G63*'Assumption Table'!$C$119</f>
        <v>43004.551693337737</v>
      </c>
      <c r="H185" s="27">
        <f ca="1">H63*'Assumption Table'!$C$119</f>
        <v>43284.142996613147</v>
      </c>
      <c r="I185" s="27">
        <f ca="1">I63*'Assumption Table'!$C$119</f>
        <v>58348.780033670795</v>
      </c>
      <c r="J185" s="27">
        <f ca="1">J63*'Assumption Table'!$C$119</f>
        <v>71649.054416364073</v>
      </c>
      <c r="K185" s="27">
        <f ca="1">K63*'Assumption Table'!$C$119</f>
        <v>74577.671654956721</v>
      </c>
      <c r="L185" s="27">
        <f ca="1">L63*'Assumption Table'!$C$119</f>
        <v>84908.049099757831</v>
      </c>
      <c r="M185" s="27">
        <f ca="1">M63*'Assumption Table'!$C$119</f>
        <v>58129.023012484613</v>
      </c>
      <c r="N185" s="27">
        <f ca="1">N63*'Assumption Table'!$C$119</f>
        <v>116696.34897559012</v>
      </c>
      <c r="O185" s="27">
        <f ca="1">O63*'Assumption Table'!$C$119</f>
        <v>111104.59790522153</v>
      </c>
      <c r="P185" s="27">
        <f ca="1">P63*'Assumption Table'!$C$119</f>
        <v>141587.30995356536</v>
      </c>
      <c r="Q185" s="27">
        <f ca="1">Q63*'Assumption Table'!$C$119</f>
        <v>129771.90626614878</v>
      </c>
      <c r="R185" s="27">
        <f ca="1">R63*'Assumption Table'!$C$119</f>
        <v>137037.75563717203</v>
      </c>
      <c r="S185" s="27">
        <f ca="1">S63*'Assumption Table'!$C$119</f>
        <v>117386.42649215007</v>
      </c>
      <c r="T185" s="27">
        <f ca="1">T63*'Assumption Table'!$C$119</f>
        <v>121008.09726129897</v>
      </c>
      <c r="U185" s="27">
        <f ca="1">U63*'Assumption Table'!$C$119</f>
        <v>127890.4133895355</v>
      </c>
      <c r="V185" s="27">
        <f ca="1">V63*'Assumption Table'!$C$119</f>
        <v>177924.74445086371</v>
      </c>
      <c r="W185" s="27">
        <f ca="1">W63*'Assumption Table'!$C$119</f>
        <v>195131.14443534554</v>
      </c>
      <c r="X185" s="27">
        <f ca="1">X63*'Assumption Table'!$C$119</f>
        <v>203395.0594598086</v>
      </c>
      <c r="Y185" s="27">
        <f ca="1">Y63*'Assumption Table'!$C$119</f>
        <v>150682.70576341546</v>
      </c>
      <c r="Z185" s="27">
        <f ca="1">Z63*'Assumption Table'!$C$119</f>
        <v>261915.49010402869</v>
      </c>
      <c r="AA185" s="27">
        <f ca="1">AA63*'Assumption Table'!$C$119</f>
        <v>217770.13959473613</v>
      </c>
      <c r="AB185" s="27">
        <f ca="1">AB63*'Assumption Table'!$C$119</f>
        <v>184918.66867087819</v>
      </c>
      <c r="AC185" s="27">
        <f ca="1">AC63*'Assumption Table'!$C$119</f>
        <v>304809.32309889357</v>
      </c>
      <c r="AD185" s="27">
        <f ca="1">AD63*'Assumption Table'!$C$119</f>
        <v>208413.6366157028</v>
      </c>
      <c r="AE185" s="27">
        <f ca="1">AE63*'Assumption Table'!$C$119</f>
        <v>339862.05627235281</v>
      </c>
      <c r="AF185" s="27">
        <f ca="1">AF63*'Assumption Table'!$C$119</f>
        <v>216984.21574069848</v>
      </c>
      <c r="AG185" s="27">
        <f ca="1">AG63*'Assumption Table'!$C$119</f>
        <v>153085.70306446071</v>
      </c>
      <c r="AH185" s="27">
        <f ca="1">AH63*'Assumption Table'!$C$119</f>
        <v>180813.89752358105</v>
      </c>
      <c r="AI185" s="27">
        <f ca="1">AI63*'Assumption Table'!$C$119</f>
        <v>242578.71145811756</v>
      </c>
      <c r="AJ185" s="27">
        <f ca="1">AJ63*'Assumption Table'!$C$119</f>
        <v>475261.14846432453</v>
      </c>
      <c r="AK185" s="27">
        <f ca="1">AK63*'Assumption Table'!$C$119</f>
        <v>258879.70397995043</v>
      </c>
      <c r="AL185" s="27">
        <f ca="1">AL63*'Assumption Table'!$C$119</f>
        <v>420172.07968136127</v>
      </c>
      <c r="AM185" s="27">
        <f ca="1">AM63*'Assumption Table'!$C$119</f>
        <v>452550.15627933078</v>
      </c>
      <c r="AN185" s="27">
        <f ca="1">AN63*'Assumption Table'!$C$119</f>
        <v>395256.47078198288</v>
      </c>
      <c r="AO185" s="27">
        <f ca="1">AO63*'Assumption Table'!$C$119</f>
        <v>233224.63798761103</v>
      </c>
      <c r="AP185" s="27">
        <f ca="1">AP63*'Assumption Table'!$C$119</f>
        <v>223036.39125770974</v>
      </c>
      <c r="AQ185" s="27">
        <f ca="1">AQ63*'Assumption Table'!$C$119</f>
        <v>313897.77258176194</v>
      </c>
      <c r="AR185" s="27">
        <f ca="1">AR63*'Assumption Table'!$C$119</f>
        <v>250665.48966695415</v>
      </c>
      <c r="AS185" s="27">
        <f ca="1">AS63*'Assumption Table'!$C$119</f>
        <v>432626.5576992156</v>
      </c>
      <c r="AT185" s="27">
        <f ca="1">AT63*'Assumption Table'!$C$119</f>
        <v>442623.46789523307</v>
      </c>
      <c r="AU185" s="27">
        <f ca="1">AU63*'Assumption Table'!$C$119</f>
        <v>423670.37607373676</v>
      </c>
      <c r="AV185" s="27">
        <f ca="1">AV63*'Assumption Table'!$C$119</f>
        <v>487285.91057270038</v>
      </c>
      <c r="AW185" s="27">
        <f ca="1">AW63*'Assumption Table'!$C$119</f>
        <v>462300.61295427236</v>
      </c>
      <c r="AX185" s="27">
        <f ca="1">AX63*'Assumption Table'!$C$119</f>
        <v>452609.13607111527</v>
      </c>
      <c r="AY185" s="27">
        <f ca="1">AY63*'Assumption Table'!$C$119</f>
        <v>396966.81910655822</v>
      </c>
      <c r="AZ185" s="27">
        <f ca="1">AZ63*'Assumption Table'!$C$119</f>
        <v>511416.36560445395</v>
      </c>
      <c r="BA185" s="27">
        <f ca="1">BA63*'Assumption Table'!$C$119</f>
        <v>375730.63053388026</v>
      </c>
      <c r="BB185" s="27">
        <f ca="1">BB63*'Assumption Table'!$C$119</f>
        <v>454462.00341240293</v>
      </c>
      <c r="BC185" s="27">
        <f ca="1">BC63*'Assumption Table'!$C$119</f>
        <v>614951.93515104312</v>
      </c>
      <c r="BD185" s="27">
        <f ca="1">BD63*'Assumption Table'!$C$119</f>
        <v>661946.21141671017</v>
      </c>
      <c r="BE185" s="27">
        <f ca="1">BE63*'Assumption Table'!$C$119</f>
        <v>837870.20621408429</v>
      </c>
      <c r="BF185" s="27">
        <f ca="1">BF63*'Assumption Table'!$C$119</f>
        <v>846458.27624790312</v>
      </c>
      <c r="BG185" s="27">
        <f ca="1">BG63*'Assumption Table'!$C$119</f>
        <v>755184.90176466538</v>
      </c>
      <c r="BH185" s="27">
        <f ca="1">BH63*'Assumption Table'!$C$119</f>
        <v>466296.62181322026</v>
      </c>
      <c r="BI185" s="97">
        <f ca="1">BI63*'Assumption Table'!$C$119</f>
        <v>777427.57255334035</v>
      </c>
      <c r="BJ185" s="17" t="str">
        <f t="shared" si="75"/>
        <v>Accounts Payable</v>
      </c>
      <c r="BK185" s="115">
        <f t="shared" ca="1" si="104"/>
        <v>529039.78570107464</v>
      </c>
      <c r="BL185" s="115">
        <f t="shared" ca="1" si="105"/>
        <v>1729616.5099901159</v>
      </c>
      <c r="BM185" s="115">
        <f t="shared" ca="1" si="106"/>
        <v>3045292.6945877247</v>
      </c>
      <c r="BN185" s="115">
        <f t="shared" ca="1" si="107"/>
        <v>4537309.9234318696</v>
      </c>
      <c r="BO185" s="115">
        <f t="shared" ca="1" si="108"/>
        <v>7151320.6798893772</v>
      </c>
    </row>
    <row r="186" spans="1:67" ht="13.4" customHeight="1">
      <c r="A186" s="4" t="s">
        <v>128</v>
      </c>
      <c r="B186" s="27">
        <f ca="1">B63*'Assumption Table'!$C$120</f>
        <v>5804.7774475580127</v>
      </c>
      <c r="C186" s="27">
        <f ca="1">C63*'Assumption Table'!$C$120</f>
        <v>11718.605860744001</v>
      </c>
      <c r="D186" s="27">
        <f ca="1">D63*'Assumption Table'!$C$120</f>
        <v>21544.842769719107</v>
      </c>
      <c r="E186" s="27">
        <f ca="1">E63*'Assumption Table'!$C$120</f>
        <v>16505.596321991448</v>
      </c>
      <c r="F186" s="27">
        <f ca="1">F63*'Assumption Table'!$C$120</f>
        <v>23708.27159489549</v>
      </c>
      <c r="G186" s="27">
        <f ca="1">G63*'Assumption Table'!$C$120</f>
        <v>35837.126411114783</v>
      </c>
      <c r="H186" s="27">
        <f ca="1">H63*'Assumption Table'!$C$120</f>
        <v>36070.119163844291</v>
      </c>
      <c r="I186" s="27">
        <f ca="1">I63*'Assumption Table'!$C$120</f>
        <v>48623.983361392333</v>
      </c>
      <c r="J186" s="27">
        <f ca="1">J63*'Assumption Table'!$C$120</f>
        <v>59707.545346970066</v>
      </c>
      <c r="K186" s="27">
        <f ca="1">K63*'Assumption Table'!$C$120</f>
        <v>62148.059712463932</v>
      </c>
      <c r="L186" s="27">
        <f ca="1">L63*'Assumption Table'!$C$120</f>
        <v>70756.707583131531</v>
      </c>
      <c r="M186" s="27">
        <f ca="1">M63*'Assumption Table'!$C$120</f>
        <v>48440.852510403849</v>
      </c>
      <c r="N186" s="27">
        <f ca="1">N63*'Assumption Table'!$C$120</f>
        <v>97246.957479658449</v>
      </c>
      <c r="O186" s="27">
        <f ca="1">O63*'Assumption Table'!$C$120</f>
        <v>92587.164921017946</v>
      </c>
      <c r="P186" s="27">
        <f ca="1">P63*'Assumption Table'!$C$120</f>
        <v>117989.42496130448</v>
      </c>
      <c r="Q186" s="27">
        <f ca="1">Q63*'Assumption Table'!$C$120</f>
        <v>108143.25522179066</v>
      </c>
      <c r="R186" s="27">
        <f ca="1">R63*'Assumption Table'!$C$120</f>
        <v>114198.12969764337</v>
      </c>
      <c r="S186" s="27">
        <f ca="1">S63*'Assumption Table'!$C$120</f>
        <v>97822.022076791734</v>
      </c>
      <c r="T186" s="27">
        <f ca="1">T63*'Assumption Table'!$C$120</f>
        <v>100840.08105108248</v>
      </c>
      <c r="U186" s="27">
        <f ca="1">U63*'Assumption Table'!$C$120</f>
        <v>106575.3444912796</v>
      </c>
      <c r="V186" s="27">
        <f ca="1">V63*'Assumption Table'!$C$120</f>
        <v>148270.62037571977</v>
      </c>
      <c r="W186" s="27">
        <f ca="1">W63*'Assumption Table'!$C$120</f>
        <v>162609.28702945463</v>
      </c>
      <c r="X186" s="27">
        <f ca="1">X63*'Assumption Table'!$C$120</f>
        <v>169495.88288317385</v>
      </c>
      <c r="Y186" s="27">
        <f ca="1">Y63*'Assumption Table'!$C$120</f>
        <v>125568.92146951289</v>
      </c>
      <c r="Z186" s="27">
        <f ca="1">Z63*'Assumption Table'!$C$120</f>
        <v>218262.90842002394</v>
      </c>
      <c r="AA186" s="27">
        <f ca="1">AA63*'Assumption Table'!$C$120</f>
        <v>181475.11632894678</v>
      </c>
      <c r="AB186" s="27">
        <f ca="1">AB63*'Assumption Table'!$C$120</f>
        <v>154098.89055906516</v>
      </c>
      <c r="AC186" s="27">
        <f ca="1">AC63*'Assumption Table'!$C$120</f>
        <v>254007.769249078</v>
      </c>
      <c r="AD186" s="27">
        <f ca="1">AD63*'Assumption Table'!$C$120</f>
        <v>173678.03051308566</v>
      </c>
      <c r="AE186" s="27">
        <f ca="1">AE63*'Assumption Table'!$C$120</f>
        <v>283218.3802269607</v>
      </c>
      <c r="AF186" s="27">
        <f ca="1">AF63*'Assumption Table'!$C$120</f>
        <v>180820.1797839154</v>
      </c>
      <c r="AG186" s="27">
        <f ca="1">AG63*'Assumption Table'!$C$120</f>
        <v>127571.41922038393</v>
      </c>
      <c r="AH186" s="27">
        <f ca="1">AH63*'Assumption Table'!$C$120</f>
        <v>150678.24793631755</v>
      </c>
      <c r="AI186" s="27">
        <f ca="1">AI63*'Assumption Table'!$C$120</f>
        <v>202148.92621509798</v>
      </c>
      <c r="AJ186" s="27">
        <f ca="1">AJ63*'Assumption Table'!$C$120</f>
        <v>396050.95705360384</v>
      </c>
      <c r="AK186" s="27">
        <f ca="1">AK63*'Assumption Table'!$C$120</f>
        <v>215733.08664995871</v>
      </c>
      <c r="AL186" s="27">
        <f ca="1">AL63*'Assumption Table'!$C$120</f>
        <v>350143.39973446773</v>
      </c>
      <c r="AM186" s="27">
        <f ca="1">AM63*'Assumption Table'!$C$120</f>
        <v>377125.1302327757</v>
      </c>
      <c r="AN186" s="27">
        <f ca="1">AN63*'Assumption Table'!$C$120</f>
        <v>329380.39231831906</v>
      </c>
      <c r="AO186" s="27">
        <f ca="1">AO63*'Assumption Table'!$C$120</f>
        <v>194353.86498967587</v>
      </c>
      <c r="AP186" s="27">
        <f ca="1">AP63*'Assumption Table'!$C$120</f>
        <v>185863.65938142478</v>
      </c>
      <c r="AQ186" s="27">
        <f ca="1">AQ63*'Assumption Table'!$C$120</f>
        <v>261581.47715146831</v>
      </c>
      <c r="AR186" s="27">
        <f ca="1">AR63*'Assumption Table'!$C$120</f>
        <v>208887.90805579512</v>
      </c>
      <c r="AS186" s="27">
        <f ca="1">AS63*'Assumption Table'!$C$120</f>
        <v>360522.131416013</v>
      </c>
      <c r="AT186" s="27">
        <f ca="1">AT63*'Assumption Table'!$C$120</f>
        <v>368852.88991269423</v>
      </c>
      <c r="AU186" s="27">
        <f ca="1">AU63*'Assumption Table'!$C$120</f>
        <v>353058.64672811399</v>
      </c>
      <c r="AV186" s="27">
        <f ca="1">AV63*'Assumption Table'!$C$120</f>
        <v>406071.59214391699</v>
      </c>
      <c r="AW186" s="27">
        <f ca="1">AW63*'Assumption Table'!$C$120</f>
        <v>385250.51079522702</v>
      </c>
      <c r="AX186" s="27">
        <f ca="1">AX63*'Assumption Table'!$C$120</f>
        <v>377174.28005926276</v>
      </c>
      <c r="AY186" s="27">
        <f ca="1">AY63*'Assumption Table'!$C$120</f>
        <v>330805.68258879858</v>
      </c>
      <c r="AZ186" s="27">
        <f ca="1">AZ63*'Assumption Table'!$C$120</f>
        <v>426180.30467037833</v>
      </c>
      <c r="BA186" s="27">
        <f ca="1">BA63*'Assumption Table'!$C$120</f>
        <v>313108.85877823358</v>
      </c>
      <c r="BB186" s="27">
        <f ca="1">BB63*'Assumption Table'!$C$120</f>
        <v>378718.33617700246</v>
      </c>
      <c r="BC186" s="27">
        <f ca="1">BC63*'Assumption Table'!$C$120</f>
        <v>512459.9459592026</v>
      </c>
      <c r="BD186" s="27">
        <f ca="1">BD63*'Assumption Table'!$C$120</f>
        <v>551621.84284725855</v>
      </c>
      <c r="BE186" s="27">
        <f ca="1">BE63*'Assumption Table'!$C$120</f>
        <v>698225.17184507032</v>
      </c>
      <c r="BF186" s="27">
        <f ca="1">BF63*'Assumption Table'!$C$120</f>
        <v>705381.8968732527</v>
      </c>
      <c r="BG186" s="27">
        <f ca="1">BG63*'Assumption Table'!$C$120</f>
        <v>629320.75147055462</v>
      </c>
      <c r="BH186" s="27">
        <f ca="1">BH63*'Assumption Table'!$C$120</f>
        <v>388580.51817768358</v>
      </c>
      <c r="BI186" s="97">
        <f ca="1">BI63*'Assumption Table'!$C$120</f>
        <v>647856.31046111695</v>
      </c>
      <c r="BJ186" s="17" t="str">
        <f t="shared" si="75"/>
        <v>Accrued Expenses</v>
      </c>
      <c r="BK186" s="115">
        <f t="shared" ca="1" si="104"/>
        <v>440866.48808422883</v>
      </c>
      <c r="BL186" s="115">
        <f t="shared" ca="1" si="105"/>
        <v>1441347.0916584297</v>
      </c>
      <c r="BM186" s="115">
        <f t="shared" ca="1" si="106"/>
        <v>2537743.9121564375</v>
      </c>
      <c r="BN186" s="115">
        <f t="shared" ca="1" si="107"/>
        <v>3781091.602859891</v>
      </c>
      <c r="BO186" s="115">
        <f t="shared" ca="1" si="108"/>
        <v>5959433.8999078143</v>
      </c>
    </row>
    <row r="187" spans="1:67" ht="13.4" customHeight="1">
      <c r="A187" s="4" t="s">
        <v>129</v>
      </c>
      <c r="B187" s="27">
        <f>B177*'Assumption Table'!$C$121</f>
        <v>49729.166666666664</v>
      </c>
      <c r="C187" s="27">
        <f>C177*'Assumption Table'!$C$121</f>
        <v>49459.800347222212</v>
      </c>
      <c r="D187" s="27">
        <f>D177*'Assumption Table'!$C$121</f>
        <v>49191.893095341431</v>
      </c>
      <c r="E187" s="27">
        <f>E177*'Assumption Table'!$C$121</f>
        <v>48925.437007741668</v>
      </c>
      <c r="F187" s="27">
        <f>F177*'Assumption Table'!$C$121</f>
        <v>48660.424223949733</v>
      </c>
      <c r="G187" s="27">
        <f>G177*'Assumption Table'!$C$121</f>
        <v>48396.846926070008</v>
      </c>
      <c r="H187" s="27">
        <f>H177*'Assumption Table'!$C$121</f>
        <v>48134.6973385538</v>
      </c>
      <c r="I187" s="27">
        <f>I177*'Assumption Table'!$C$121</f>
        <v>47873.967727969961</v>
      </c>
      <c r="J187" s="27">
        <f>J177*'Assumption Table'!$C$121</f>
        <v>47614.650402776788</v>
      </c>
      <c r="K187" s="27">
        <f>K177*'Assumption Table'!$C$121</f>
        <v>47356.73771309507</v>
      </c>
      <c r="L187" s="27">
        <f>L177*'Assumption Table'!$C$121</f>
        <v>47100.222050482473</v>
      </c>
      <c r="M187" s="27">
        <f>M177*'Assumption Table'!$C$121</f>
        <v>46845.095847709032</v>
      </c>
      <c r="N187" s="27">
        <f>N177*'Assumption Table'!$C$121</f>
        <v>46591.35157853394</v>
      </c>
      <c r="O187" s="27">
        <f>O177*'Assumption Table'!$C$121</f>
        <v>46338.981757483547</v>
      </c>
      <c r="P187" s="27">
        <f>P177*'Assumption Table'!$C$121</f>
        <v>46087.978939630513</v>
      </c>
      <c r="Q187" s="27">
        <f>Q177*'Assumption Table'!$C$121</f>
        <v>45838.335720374176</v>
      </c>
      <c r="R187" s="27">
        <f>R177*'Assumption Table'!$C$121</f>
        <v>45590.044735222153</v>
      </c>
      <c r="S187" s="27">
        <f>S177*'Assumption Table'!$C$121</f>
        <v>45343.098659573028</v>
      </c>
      <c r="T187" s="27">
        <f>T177*'Assumption Table'!$C$121</f>
        <v>45097.490208500349</v>
      </c>
      <c r="U187" s="27">
        <f>U177*'Assumption Table'!$C$121</f>
        <v>44853.212136537637</v>
      </c>
      <c r="V187" s="27">
        <f>V177*'Assumption Table'!$C$121</f>
        <v>44610.257237464721</v>
      </c>
      <c r="W187" s="27">
        <f>W177*'Assumption Table'!$C$121</f>
        <v>44368.618344095121</v>
      </c>
      <c r="X187" s="27">
        <f>X177*'Assumption Table'!$C$121</f>
        <v>44128.288328064606</v>
      </c>
      <c r="Y187" s="27">
        <f>Y177*'Assumption Table'!$C$121</f>
        <v>43889.260099620922</v>
      </c>
      <c r="Z187" s="27">
        <f>Z177*'Assumption Table'!$C$121</f>
        <v>43651.526607414642</v>
      </c>
      <c r="AA187" s="27">
        <f>AA177*'Assumption Table'!$C$121</f>
        <v>43415.080838291142</v>
      </c>
      <c r="AB187" s="27">
        <f>AB177*'Assumption Table'!$C$121</f>
        <v>43179.915817083733</v>
      </c>
      <c r="AC187" s="27">
        <f>AC177*'Assumption Table'!$C$121</f>
        <v>42946.02460640786</v>
      </c>
      <c r="AD187" s="27">
        <f>AD177*'Assumption Table'!$C$121</f>
        <v>42713.400306456489</v>
      </c>
      <c r="AE187" s="27">
        <f>AE177*'Assumption Table'!$C$121</f>
        <v>42482.03605479651</v>
      </c>
      <c r="AF187" s="27">
        <f>AF177*'Assumption Table'!$C$121</f>
        <v>42251.925026166355</v>
      </c>
      <c r="AG187" s="27">
        <f>AG177*'Assumption Table'!$C$121</f>
        <v>42023.060432274622</v>
      </c>
      <c r="AH187" s="27">
        <f>AH177*'Assumption Table'!$C$121</f>
        <v>41795.4355215998</v>
      </c>
      <c r="AI187" s="27">
        <f>AI177*'Assumption Table'!$C$121</f>
        <v>41569.043579191137</v>
      </c>
      <c r="AJ187" s="27">
        <f>AJ177*'Assumption Table'!$C$121</f>
        <v>41343.877926470515</v>
      </c>
      <c r="AK187" s="27">
        <f>AK177*'Assumption Table'!$C$121</f>
        <v>41119.931921035459</v>
      </c>
      <c r="AL187" s="27">
        <f>AL177*'Assumption Table'!$C$121</f>
        <v>40897.198956463188</v>
      </c>
      <c r="AM187" s="27">
        <f>AM177*'Assumption Table'!$C$121</f>
        <v>40675.672462115675</v>
      </c>
      <c r="AN187" s="27">
        <f>AN177*'Assumption Table'!$C$121</f>
        <v>40455.345902945883</v>
      </c>
      <c r="AO187" s="27">
        <f>AO177*'Assumption Table'!$C$121</f>
        <v>40236.212779304929</v>
      </c>
      <c r="AP187" s="27">
        <f>AP177*'Assumption Table'!$C$121</f>
        <v>40018.266626750359</v>
      </c>
      <c r="AQ187" s="27">
        <f>AQ177*'Assumption Table'!$C$121</f>
        <v>39801.501015855458</v>
      </c>
      <c r="AR187" s="27">
        <f>AR177*'Assumption Table'!$C$121</f>
        <v>39585.909552019577</v>
      </c>
      <c r="AS187" s="27">
        <f>AS177*'Assumption Table'!$C$121</f>
        <v>39371.485875279468</v>
      </c>
      <c r="AT187" s="27">
        <f>AT177*'Assumption Table'!$C$121</f>
        <v>39158.223660121708</v>
      </c>
      <c r="AU187" s="27">
        <f>AU177*'Assumption Table'!$C$121</f>
        <v>38946.116615296043</v>
      </c>
      <c r="AV187" s="27">
        <f>AV177*'Assumption Table'!$C$121</f>
        <v>38735.158483629857</v>
      </c>
      <c r="AW187" s="27">
        <f>AW177*'Assumption Table'!$C$121</f>
        <v>38525.343041843524</v>
      </c>
      <c r="AX187" s="27">
        <f>AX177*'Assumption Table'!$C$121</f>
        <v>38316.66410036687</v>
      </c>
      <c r="AY187" s="27">
        <f>AY177*'Assumption Table'!$C$121</f>
        <v>38109.11550315655</v>
      </c>
      <c r="AZ187" s="27">
        <f>AZ177*'Assumption Table'!$C$121</f>
        <v>37902.691127514459</v>
      </c>
      <c r="BA187" s="27">
        <f>BA177*'Assumption Table'!$C$121</f>
        <v>37697.384883907092</v>
      </c>
      <c r="BB187" s="27">
        <f>BB177*'Assumption Table'!$C$121</f>
        <v>37493.190715785924</v>
      </c>
      <c r="BC187" s="27">
        <f>BC177*'Assumption Table'!$C$121</f>
        <v>37290.102599408754</v>
      </c>
      <c r="BD187" s="27">
        <f>BD177*'Assumption Table'!$C$121</f>
        <v>37088.114543661955</v>
      </c>
      <c r="BE187" s="27">
        <f>BE177*'Assumption Table'!$C$121</f>
        <v>36887.220589883786</v>
      </c>
      <c r="BF187" s="27">
        <f>BF177*'Assumption Table'!$C$121</f>
        <v>36687.414811688577</v>
      </c>
      <c r="BG187" s="27">
        <f>BG177*'Assumption Table'!$C$121</f>
        <v>36488.691314791933</v>
      </c>
      <c r="BH187" s="27">
        <f>BH177*'Assumption Table'!$C$121</f>
        <v>36291.044236836809</v>
      </c>
      <c r="BI187" s="97">
        <f>BI177*'Assumption Table'!$C$121</f>
        <v>36094.467747220609</v>
      </c>
      <c r="BJ187" s="17" t="str">
        <f t="shared" si="75"/>
        <v>Current Portion LT Debt</v>
      </c>
      <c r="BK187" s="115">
        <f t="shared" si="104"/>
        <v>579288.93934757879</v>
      </c>
      <c r="BL187" s="115">
        <f t="shared" si="105"/>
        <v>542736.9177451008</v>
      </c>
      <c r="BM187" s="115">
        <f t="shared" si="106"/>
        <v>508491.25863718824</v>
      </c>
      <c r="BN187" s="115">
        <f t="shared" si="107"/>
        <v>476406.43497162568</v>
      </c>
      <c r="BO187" s="115">
        <f t="shared" si="108"/>
        <v>446346.10217422334</v>
      </c>
    </row>
    <row r="188" spans="1:67" ht="13.4" customHeight="1">
      <c r="A188" s="4" t="s">
        <v>131</v>
      </c>
      <c r="B188" s="27">
        <f ca="1">B51*'Assumption Table'!$C$122</f>
        <v>4552.1407774020399</v>
      </c>
      <c r="C188" s="27">
        <f ca="1">C51*'Assumption Table'!$C$122</f>
        <v>8796.6138577755228</v>
      </c>
      <c r="D188" s="27">
        <f ca="1">D51*'Assumption Table'!$C$122</f>
        <v>17178.312257808415</v>
      </c>
      <c r="E188" s="27">
        <f ca="1">E51*'Assumption Table'!$C$122</f>
        <v>12060.990548391017</v>
      </c>
      <c r="F188" s="27">
        <f ca="1">F51*'Assumption Table'!$C$122</f>
        <v>16187.923349719233</v>
      </c>
      <c r="G188" s="27">
        <f ca="1">G51*'Assumption Table'!$C$122</f>
        <v>27744.777627386993</v>
      </c>
      <c r="H188" s="27">
        <f ca="1">H51*'Assumption Table'!$C$122</f>
        <v>26722.203713643692</v>
      </c>
      <c r="I188" s="27">
        <f ca="1">I51*'Assumption Table'!$C$122</f>
        <v>37353.788212880245</v>
      </c>
      <c r="J188" s="27">
        <f ca="1">J51*'Assumption Table'!$C$122</f>
        <v>47170.806999312706</v>
      </c>
      <c r="K188" s="27">
        <f ca="1">K51*'Assumption Table'!$C$122</f>
        <v>46790.664416877036</v>
      </c>
      <c r="L188" s="27">
        <f ca="1">L51*'Assumption Table'!$C$122</f>
        <v>54730.778063079262</v>
      </c>
      <c r="M188" s="27">
        <f ca="1">M51*'Assumption Table'!$C$122</f>
        <v>35045.209177086741</v>
      </c>
      <c r="N188" s="27">
        <f ca="1">N51*'Assumption Table'!$C$122</f>
        <v>73860.539178624924</v>
      </c>
      <c r="O188" s="27">
        <f ca="1">O51*'Assumption Table'!$C$122</f>
        <v>73162.833281536659</v>
      </c>
      <c r="P188" s="27">
        <f ca="1">P51*'Assumption Table'!$C$122</f>
        <v>90296.115899270866</v>
      </c>
      <c r="Q188" s="27">
        <f ca="1">Q51*'Assumption Table'!$C$122</f>
        <v>77980.727980236741</v>
      </c>
      <c r="R188" s="27">
        <f ca="1">R51*'Assumption Table'!$C$122</f>
        <v>88507.634559612707</v>
      </c>
      <c r="S188" s="27">
        <f ca="1">S51*'Assumption Table'!$C$122</f>
        <v>72988.200914484842</v>
      </c>
      <c r="T188" s="27">
        <f ca="1">T51*'Assumption Table'!$C$122</f>
        <v>76285.43139297684</v>
      </c>
      <c r="U188" s="27">
        <f ca="1">U51*'Assumption Table'!$C$122</f>
        <v>71458.393599475079</v>
      </c>
      <c r="V188" s="27">
        <f ca="1">V51*'Assumption Table'!$C$122</f>
        <v>115866.82356842817</v>
      </c>
      <c r="W188" s="27">
        <f ca="1">W51*'Assumption Table'!$C$122</f>
        <v>130077.70977883664</v>
      </c>
      <c r="X188" s="27">
        <f ca="1">X51*'Assumption Table'!$C$122</f>
        <v>121815.32779558597</v>
      </c>
      <c r="Y188" s="27">
        <f ca="1">Y51*'Assumption Table'!$C$122</f>
        <v>87207.79293775023</v>
      </c>
      <c r="Z188" s="27">
        <f ca="1">Z51*'Assumption Table'!$C$122</f>
        <v>172327.16665611733</v>
      </c>
      <c r="AA188" s="27">
        <f ca="1">AA51*'Assumption Table'!$C$122</f>
        <v>134588.66434971004</v>
      </c>
      <c r="AB188" s="27">
        <f ca="1">AB51*'Assumption Table'!$C$122</f>
        <v>121184.03079231983</v>
      </c>
      <c r="AC188" s="27">
        <f ca="1">AC51*'Assumption Table'!$C$122</f>
        <v>186227.36422083838</v>
      </c>
      <c r="AD188" s="27">
        <f ca="1">AD51*'Assumption Table'!$C$122</f>
        <v>117037.86827515774</v>
      </c>
      <c r="AE188" s="27">
        <f ca="1">AE51*'Assumption Table'!$C$122</f>
        <v>204321.19390368706</v>
      </c>
      <c r="AF188" s="27">
        <f ca="1">AF51*'Assumption Table'!$C$122</f>
        <v>132838.63099202185</v>
      </c>
      <c r="AG188" s="27">
        <f ca="1">AG51*'Assumption Table'!$C$122</f>
        <v>89325.359241570928</v>
      </c>
      <c r="AH188" s="27">
        <f ca="1">AH51*'Assumption Table'!$C$122</f>
        <v>105194.51804699107</v>
      </c>
      <c r="AI188" s="27">
        <f ca="1">AI51*'Assumption Table'!$C$122</f>
        <v>150634.39948300444</v>
      </c>
      <c r="AJ188" s="27">
        <f ca="1">AJ51*'Assumption Table'!$C$122</f>
        <v>316975.40030624525</v>
      </c>
      <c r="AK188" s="27">
        <f ca="1">AK51*'Assumption Table'!$C$122</f>
        <v>164576.15490763984</v>
      </c>
      <c r="AL188" s="27">
        <f ca="1">AL51*'Assumption Table'!$C$122</f>
        <v>257115.03049136873</v>
      </c>
      <c r="AM188" s="27">
        <f ca="1">AM51*'Assumption Table'!$C$122</f>
        <v>279619.66270411748</v>
      </c>
      <c r="AN188" s="27">
        <f ca="1">AN51*'Assumption Table'!$C$122</f>
        <v>222469.37833716036</v>
      </c>
      <c r="AO188" s="27">
        <f ca="1">AO51*'Assumption Table'!$C$122</f>
        <v>106754.927764393</v>
      </c>
      <c r="AP188" s="27">
        <f ca="1">AP51*'Assumption Table'!$C$122</f>
        <v>132144.38527739863</v>
      </c>
      <c r="AQ188" s="27">
        <f ca="1">AQ51*'Assumption Table'!$C$122</f>
        <v>196562.69394017762</v>
      </c>
      <c r="AR188" s="27">
        <f ca="1">AR51*'Assumption Table'!$C$122</f>
        <v>122758.61097624426</v>
      </c>
      <c r="AS188" s="27">
        <f ca="1">AS51*'Assumption Table'!$C$122</f>
        <v>277607.31279319519</v>
      </c>
      <c r="AT188" s="27">
        <f ca="1">AT51*'Assumption Table'!$C$122</f>
        <v>285465.06134624942</v>
      </c>
      <c r="AU188" s="27">
        <f ca="1">AU51*'Assumption Table'!$C$122</f>
        <v>258294.3623798342</v>
      </c>
      <c r="AV188" s="27">
        <f ca="1">AV51*'Assumption Table'!$C$122</f>
        <v>283158.42072617746</v>
      </c>
      <c r="AW188" s="27">
        <f ca="1">AW51*'Assumption Table'!$C$122</f>
        <v>312956.57085551572</v>
      </c>
      <c r="AX188" s="27">
        <f ca="1">AX51*'Assumption Table'!$C$122</f>
        <v>280306.11431091808</v>
      </c>
      <c r="AY188" s="27">
        <f ca="1">AY51*'Assumption Table'!$C$122</f>
        <v>223553.58436308877</v>
      </c>
      <c r="AZ188" s="27">
        <f ca="1">AZ51*'Assumption Table'!$C$122</f>
        <v>315314.49429010251</v>
      </c>
      <c r="BA188" s="27">
        <f ca="1">BA51*'Assumption Table'!$C$122</f>
        <v>202724.93155915826</v>
      </c>
      <c r="BB188" s="27">
        <f ca="1">BB51*'Assumption Table'!$C$122</f>
        <v>277709.04572150932</v>
      </c>
      <c r="BC188" s="27">
        <f ca="1">BC51*'Assumption Table'!$C$122</f>
        <v>401370.41427067085</v>
      </c>
      <c r="BD188" s="27">
        <f ca="1">BD51*'Assumption Table'!$C$122</f>
        <v>401647.36041204934</v>
      </c>
      <c r="BE188" s="27">
        <f ca="1">BE51*'Assumption Table'!$C$122</f>
        <v>534045.18732427119</v>
      </c>
      <c r="BF188" s="27">
        <f ca="1">BF51*'Assumption Table'!$C$122</f>
        <v>533047.70940216631</v>
      </c>
      <c r="BG188" s="27">
        <f ca="1">BG51*'Assumption Table'!$C$122</f>
        <v>480850.14854234562</v>
      </c>
      <c r="BH188" s="27">
        <f ca="1">BH51*'Assumption Table'!$C$122</f>
        <v>281052.93464636715</v>
      </c>
      <c r="BI188" s="97">
        <f ca="1">BI51*'Assumption Table'!$C$122</f>
        <v>479301.557072433</v>
      </c>
      <c r="BJ188" s="17" t="str">
        <f t="shared" si="75"/>
        <v>Other Current Liabilities</v>
      </c>
      <c r="BK188" s="115">
        <f t="shared" ca="1" si="104"/>
        <v>334334.20900136291</v>
      </c>
      <c r="BL188" s="115">
        <f t="shared" ca="1" si="105"/>
        <v>1079507.5308868196</v>
      </c>
      <c r="BM188" s="115">
        <f t="shared" ca="1" si="106"/>
        <v>1895230.7511753035</v>
      </c>
      <c r="BN188" s="115">
        <f t="shared" ca="1" si="107"/>
        <v>2734906.4175918316</v>
      </c>
      <c r="BO188" s="115">
        <f t="shared" ca="1" si="108"/>
        <v>4410923.48191508</v>
      </c>
    </row>
    <row r="189" spans="1:67" ht="13.4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9"/>
      <c r="BJ189" s="8">
        <f t="shared" si="75"/>
        <v>0</v>
      </c>
      <c r="BK189" s="6"/>
      <c r="BL189" s="6"/>
      <c r="BM189" s="6"/>
      <c r="BN189" s="6"/>
      <c r="BO189" s="6"/>
    </row>
    <row r="190" spans="1:67" ht="13.4" customHeight="1">
      <c r="A190" s="5" t="s">
        <v>262</v>
      </c>
      <c r="B190" s="27">
        <f t="shared" ref="B190:AG190" ca="1" si="109">B181+B182+B183+B184-B185-B186-B187-B188</f>
        <v>-35186.832386882052</v>
      </c>
      <c r="C190" s="27">
        <f t="shared" ca="1" si="109"/>
        <v>-22461.050094205875</v>
      </c>
      <c r="D190" s="27">
        <f t="shared" ca="1" si="109"/>
        <v>6479.3263581270221</v>
      </c>
      <c r="E190" s="27">
        <f t="shared" ca="1" si="109"/>
        <v>-12871.805625776758</v>
      </c>
      <c r="F190" s="27">
        <f t="shared" ca="1" si="109"/>
        <v>-3691.0816344044069</v>
      </c>
      <c r="G190" s="27">
        <f t="shared" ca="1" si="109"/>
        <v>39230.140733799417</v>
      </c>
      <c r="H190" s="27">
        <f t="shared" ca="1" si="109"/>
        <v>32844.262782850921</v>
      </c>
      <c r="I190" s="27">
        <f t="shared" ca="1" si="109"/>
        <v>69275.998154248358</v>
      </c>
      <c r="J190" s="27">
        <f t="shared" ca="1" si="109"/>
        <v>104053.59182976533</v>
      </c>
      <c r="K190" s="27">
        <f t="shared" ca="1" si="109"/>
        <v>96661.517420746532</v>
      </c>
      <c r="L190" s="27">
        <f t="shared" ca="1" si="109"/>
        <v>125619.68964510376</v>
      </c>
      <c r="M190" s="27">
        <f t="shared" ca="1" si="109"/>
        <v>56856.283691922945</v>
      </c>
      <c r="N190" s="27">
        <f t="shared" ca="1" si="109"/>
        <v>182628.57703796704</v>
      </c>
      <c r="O190" s="27">
        <f t="shared" ca="1" si="109"/>
        <v>188946.25510549697</v>
      </c>
      <c r="P190" s="27">
        <f t="shared" ca="1" si="109"/>
        <v>236111.98154112487</v>
      </c>
      <c r="Q190" s="27">
        <f t="shared" ca="1" si="109"/>
        <v>184130.87067310681</v>
      </c>
      <c r="R190" s="27">
        <f t="shared" ca="1" si="109"/>
        <v>234219.87728763861</v>
      </c>
      <c r="S190" s="27">
        <f t="shared" ca="1" si="109"/>
        <v>177377.65825839422</v>
      </c>
      <c r="T190" s="27">
        <f t="shared" ca="1" si="109"/>
        <v>190766.9198369793</v>
      </c>
      <c r="U190" s="27">
        <f t="shared" ca="1" si="109"/>
        <v>149431.39157949766</v>
      </c>
      <c r="V190" s="27">
        <f t="shared" ca="1" si="109"/>
        <v>324395.31934652088</v>
      </c>
      <c r="W190" s="27">
        <f t="shared" ca="1" si="109"/>
        <v>378357.20886412449</v>
      </c>
      <c r="X190" s="27">
        <f t="shared" ca="1" si="109"/>
        <v>313872.73610246868</v>
      </c>
      <c r="Y190" s="27">
        <f t="shared" ca="1" si="109"/>
        <v>203105.87029395218</v>
      </c>
      <c r="Z190" s="27">
        <f t="shared" ca="1" si="109"/>
        <v>510133.07480523689</v>
      </c>
      <c r="AA190" s="27">
        <f t="shared" ca="1" si="109"/>
        <v>364871.64933628612</v>
      </c>
      <c r="AB190" s="27">
        <f t="shared" ca="1" si="109"/>
        <v>344906.70970689191</v>
      </c>
      <c r="AC190" s="27">
        <f t="shared" ca="1" si="109"/>
        <v>515601.06837065076</v>
      </c>
      <c r="AD190" s="27">
        <f t="shared" ca="1" si="109"/>
        <v>277422.14221570152</v>
      </c>
      <c r="AE190" s="27">
        <f t="shared" ca="1" si="109"/>
        <v>560364.69086801226</v>
      </c>
      <c r="AF190" s="27">
        <f t="shared" ca="1" si="109"/>
        <v>356975.46540135075</v>
      </c>
      <c r="AG190" s="27">
        <f t="shared" ca="1" si="109"/>
        <v>213271.97273230623</v>
      </c>
      <c r="AH190" s="27">
        <f t="shared" ref="AH190:BI190" ca="1" si="110">AH181+AH182+AH183+AH184-AH185-AH186-AH187-AH188</f>
        <v>257879.52730044798</v>
      </c>
      <c r="AI190" s="27">
        <f t="shared" ca="1" si="110"/>
        <v>417509.71564561978</v>
      </c>
      <c r="AJ190" s="27">
        <f t="shared" ca="1" si="110"/>
        <v>989196.41839307267</v>
      </c>
      <c r="AK190" s="27">
        <f t="shared" ca="1" si="110"/>
        <v>471724.20689489436</v>
      </c>
      <c r="AL190" s="27">
        <f t="shared" ca="1" si="110"/>
        <v>731477.50457592006</v>
      </c>
      <c r="AM190" s="27">
        <f t="shared" ca="1" si="110"/>
        <v>807367.01725048234</v>
      </c>
      <c r="AN190" s="27">
        <f t="shared" ca="1" si="110"/>
        <v>569724.06101971457</v>
      </c>
      <c r="AO190" s="27">
        <f t="shared" ca="1" si="110"/>
        <v>172714.85082976613</v>
      </c>
      <c r="AP190" s="27">
        <f t="shared" ca="1" si="110"/>
        <v>343947.99439850694</v>
      </c>
      <c r="AQ190" s="27">
        <f t="shared" ca="1" si="110"/>
        <v>564095.41289198003</v>
      </c>
      <c r="AR190" s="27">
        <f t="shared" ca="1" si="110"/>
        <v>237412.3585826967</v>
      </c>
      <c r="AS190" s="27">
        <f t="shared" ca="1" si="110"/>
        <v>833123.70176866301</v>
      </c>
      <c r="AT190" s="27">
        <f t="shared" ca="1" si="110"/>
        <v>862155.78660944756</v>
      </c>
      <c r="AU190" s="27">
        <f t="shared" ca="1" si="110"/>
        <v>734091.03486185847</v>
      </c>
      <c r="AV190" s="27">
        <f t="shared" ca="1" si="110"/>
        <v>766857.86315681739</v>
      </c>
      <c r="AW190" s="27">
        <f t="shared" ca="1" si="110"/>
        <v>991662.95834175101</v>
      </c>
      <c r="AX190" s="27">
        <f t="shared" ca="1" si="110"/>
        <v>813736.60563476337</v>
      </c>
      <c r="AY190" s="27">
        <f t="shared" ca="1" si="110"/>
        <v>575439.88898001937</v>
      </c>
      <c r="AZ190" s="27">
        <f t="shared" ca="1" si="110"/>
        <v>916387.60433826852</v>
      </c>
      <c r="BA190" s="27">
        <f t="shared" ca="1" si="110"/>
        <v>489812.71515892853</v>
      </c>
      <c r="BB190" s="27">
        <f t="shared" ca="1" si="110"/>
        <v>795580.74402386486</v>
      </c>
      <c r="BC190" s="27">
        <f t="shared" ca="1" si="110"/>
        <v>1243520.5019143703</v>
      </c>
      <c r="BD190" s="27">
        <f t="shared" ca="1" si="110"/>
        <v>1159227.9936646656</v>
      </c>
      <c r="BE190" s="27">
        <f t="shared" ca="1" si="110"/>
        <v>1631288.5252965889</v>
      </c>
      <c r="BF190" s="27">
        <f t="shared" ca="1" si="110"/>
        <v>1609758.6684801532</v>
      </c>
      <c r="BG190" s="27">
        <f t="shared" ca="1" si="110"/>
        <v>1464106.5467040623</v>
      </c>
      <c r="BH190" s="27">
        <f t="shared" ca="1" si="110"/>
        <v>795149.42365046241</v>
      </c>
      <c r="BI190" s="97">
        <f t="shared" ca="1" si="110"/>
        <v>1414430.9916729205</v>
      </c>
      <c r="BJ190" s="8" t="str">
        <f t="shared" si="75"/>
        <v>Working Capital</v>
      </c>
      <c r="BK190" s="115">
        <f ca="1">SUMIFS($B190:$BI190,$B$4:$BI$4,"&lt;=12")</f>
        <v>456810.04087529524</v>
      </c>
      <c r="BL190" s="115">
        <f ca="1">SUMIFS($B190:$BI190,$B$4:$BI$4,"&lt;=24",$B$4:$BI$4,"&gt;12")</f>
        <v>2763344.6659272714</v>
      </c>
      <c r="BM190" s="115">
        <f ca="1">SUMIFS($B190:$BI190,$B$4:$BI$4,"&lt;=36",$B$4:$BI$4,"&gt;24")</f>
        <v>5279856.6416704711</v>
      </c>
      <c r="BN190" s="115">
        <f ca="1">SUMIFS($B190:$BI190,$B$4:$BI$4,"&lt;=48",$B$4:$BI$4,"&gt;36")</f>
        <v>7614630.5442876052</v>
      </c>
      <c r="BO190" s="115">
        <f ca="1">SUMIFS($B190:$BI190,$B$4:$BI$4,"&lt;=60",$B$4:$BI$4,"&gt;48")</f>
        <v>12908440.209519068</v>
      </c>
    </row>
    <row r="191" spans="1:67" ht="13.4" customHeight="1">
      <c r="A191" s="6"/>
      <c r="B191" s="6"/>
      <c r="C191" s="6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13"/>
      <c r="BJ191" s="19">
        <f t="shared" si="75"/>
        <v>0</v>
      </c>
      <c r="BK191" s="6"/>
      <c r="BL191" s="6"/>
      <c r="BM191" s="6"/>
      <c r="BN191" s="6"/>
      <c r="BO191" s="6"/>
    </row>
    <row r="192" spans="1:67" ht="13.4" customHeight="1">
      <c r="A192" s="89" t="s">
        <v>263</v>
      </c>
      <c r="B192" s="27">
        <f ca="1">B190</f>
        <v>-35186.832386882052</v>
      </c>
      <c r="C192" s="27">
        <f t="shared" ref="C192:AH192" ca="1" si="111">C190-B190</f>
        <v>12725.782292676176</v>
      </c>
      <c r="D192" s="27">
        <f t="shared" ca="1" si="111"/>
        <v>28940.376452332897</v>
      </c>
      <c r="E192" s="27">
        <f t="shared" ca="1" si="111"/>
        <v>-19351.131983903782</v>
      </c>
      <c r="F192" s="27">
        <f t="shared" ca="1" si="111"/>
        <v>9180.7239913723515</v>
      </c>
      <c r="G192" s="27">
        <f t="shared" ca="1" si="111"/>
        <v>42921.222368203824</v>
      </c>
      <c r="H192" s="27">
        <f t="shared" ca="1" si="111"/>
        <v>-6385.8779509484957</v>
      </c>
      <c r="I192" s="27">
        <f t="shared" ca="1" si="111"/>
        <v>36431.735371397437</v>
      </c>
      <c r="J192" s="27">
        <f t="shared" ca="1" si="111"/>
        <v>34777.593675516968</v>
      </c>
      <c r="K192" s="27">
        <f t="shared" ca="1" si="111"/>
        <v>-7392.0744090187945</v>
      </c>
      <c r="L192" s="27">
        <f t="shared" ca="1" si="111"/>
        <v>28958.172224357229</v>
      </c>
      <c r="M192" s="27">
        <f t="shared" ca="1" si="111"/>
        <v>-68763.405953180816</v>
      </c>
      <c r="N192" s="27">
        <f t="shared" ca="1" si="111"/>
        <v>125772.2933460441</v>
      </c>
      <c r="O192" s="27">
        <f t="shared" ca="1" si="111"/>
        <v>6317.6780675299233</v>
      </c>
      <c r="P192" s="27">
        <f t="shared" ca="1" si="111"/>
        <v>47165.726435627905</v>
      </c>
      <c r="Q192" s="27">
        <f t="shared" ca="1" si="111"/>
        <v>-51981.110868018062</v>
      </c>
      <c r="R192" s="27">
        <f t="shared" ca="1" si="111"/>
        <v>50089.006614531798</v>
      </c>
      <c r="S192" s="27">
        <f t="shared" ca="1" si="111"/>
        <v>-56842.219029244385</v>
      </c>
      <c r="T192" s="27">
        <f t="shared" ca="1" si="111"/>
        <v>13389.261578585079</v>
      </c>
      <c r="U192" s="27">
        <f t="shared" ca="1" si="111"/>
        <v>-41335.528257481637</v>
      </c>
      <c r="V192" s="27">
        <f t="shared" ca="1" si="111"/>
        <v>174963.92776702321</v>
      </c>
      <c r="W192" s="27">
        <f t="shared" ca="1" si="111"/>
        <v>53961.889517603617</v>
      </c>
      <c r="X192" s="27">
        <f t="shared" ca="1" si="111"/>
        <v>-64484.472761655808</v>
      </c>
      <c r="Y192" s="27">
        <f t="shared" ca="1" si="111"/>
        <v>-110766.86580851651</v>
      </c>
      <c r="Z192" s="27">
        <f t="shared" ca="1" si="111"/>
        <v>307027.20451128471</v>
      </c>
      <c r="AA192" s="27">
        <f t="shared" ca="1" si="111"/>
        <v>-145261.42546895077</v>
      </c>
      <c r="AB192" s="27">
        <f t="shared" ca="1" si="111"/>
        <v>-19964.939629394212</v>
      </c>
      <c r="AC192" s="27">
        <f t="shared" ca="1" si="111"/>
        <v>170694.35866375885</v>
      </c>
      <c r="AD192" s="27">
        <f t="shared" ca="1" si="111"/>
        <v>-238178.92615494924</v>
      </c>
      <c r="AE192" s="27">
        <f t="shared" ca="1" si="111"/>
        <v>282942.54865231074</v>
      </c>
      <c r="AF192" s="27">
        <f t="shared" ca="1" si="111"/>
        <v>-203389.2254666615</v>
      </c>
      <c r="AG192" s="27">
        <f t="shared" ca="1" si="111"/>
        <v>-143703.49266904453</v>
      </c>
      <c r="AH192" s="27">
        <f t="shared" ca="1" si="111"/>
        <v>44607.554568141757</v>
      </c>
      <c r="AI192" s="27">
        <f t="shared" ref="AI192:BI192" ca="1" si="112">AI190-AH190</f>
        <v>159630.1883451718</v>
      </c>
      <c r="AJ192" s="27">
        <f t="shared" ca="1" si="112"/>
        <v>571686.70274745289</v>
      </c>
      <c r="AK192" s="27">
        <f t="shared" ca="1" si="112"/>
        <v>-517472.21149817831</v>
      </c>
      <c r="AL192" s="27">
        <f t="shared" ca="1" si="112"/>
        <v>259753.2976810257</v>
      </c>
      <c r="AM192" s="27">
        <f t="shared" ca="1" si="112"/>
        <v>75889.512674562284</v>
      </c>
      <c r="AN192" s="27">
        <f t="shared" ca="1" si="112"/>
        <v>-237642.95623076777</v>
      </c>
      <c r="AO192" s="27">
        <f t="shared" ca="1" si="112"/>
        <v>-397009.21018994844</v>
      </c>
      <c r="AP192" s="27">
        <f t="shared" ca="1" si="112"/>
        <v>171233.14356874081</v>
      </c>
      <c r="AQ192" s="27">
        <f t="shared" ca="1" si="112"/>
        <v>220147.41849347309</v>
      </c>
      <c r="AR192" s="27">
        <f t="shared" ca="1" si="112"/>
        <v>-326683.05430928332</v>
      </c>
      <c r="AS192" s="27">
        <f t="shared" ca="1" si="112"/>
        <v>595711.34318596637</v>
      </c>
      <c r="AT192" s="27">
        <f t="shared" ca="1" si="112"/>
        <v>29032.084840784548</v>
      </c>
      <c r="AU192" s="27">
        <f t="shared" ca="1" si="112"/>
        <v>-128064.75174758909</v>
      </c>
      <c r="AV192" s="27">
        <f t="shared" ca="1" si="112"/>
        <v>32766.828294958919</v>
      </c>
      <c r="AW192" s="27">
        <f t="shared" ca="1" si="112"/>
        <v>224805.09518493363</v>
      </c>
      <c r="AX192" s="27">
        <f t="shared" ca="1" si="112"/>
        <v>-177926.35270698764</v>
      </c>
      <c r="AY192" s="27">
        <f t="shared" ca="1" si="112"/>
        <v>-238296.716654744</v>
      </c>
      <c r="AZ192" s="27">
        <f t="shared" ca="1" si="112"/>
        <v>340947.71535824914</v>
      </c>
      <c r="BA192" s="27">
        <f t="shared" ca="1" si="112"/>
        <v>-426574.88917933998</v>
      </c>
      <c r="BB192" s="27">
        <f t="shared" ca="1" si="112"/>
        <v>305768.02886493632</v>
      </c>
      <c r="BC192" s="27">
        <f t="shared" ca="1" si="112"/>
        <v>447939.75789050548</v>
      </c>
      <c r="BD192" s="27">
        <f t="shared" ca="1" si="112"/>
        <v>-84292.508249704726</v>
      </c>
      <c r="BE192" s="27">
        <f t="shared" ca="1" si="112"/>
        <v>472060.53163192328</v>
      </c>
      <c r="BF192" s="27">
        <f t="shared" ca="1" si="112"/>
        <v>-21529.856816435698</v>
      </c>
      <c r="BG192" s="27">
        <f t="shared" ca="1" si="112"/>
        <v>-145652.12177609093</v>
      </c>
      <c r="BH192" s="27">
        <f t="shared" ca="1" si="112"/>
        <v>-668957.12305359985</v>
      </c>
      <c r="BI192" s="97">
        <f t="shared" ca="1" si="112"/>
        <v>619281.56802245812</v>
      </c>
      <c r="BJ192" s="92" t="str">
        <f t="shared" si="75"/>
        <v>Change of Working Capital</v>
      </c>
      <c r="BK192" s="115">
        <f ca="1">BK190</f>
        <v>456810.04087529524</v>
      </c>
      <c r="BL192" s="115">
        <f ca="1">BL190-BK190</f>
        <v>2306534.6250519762</v>
      </c>
      <c r="BM192" s="115">
        <f ca="1">BM190-BL190</f>
        <v>2516511.9757431997</v>
      </c>
      <c r="BN192" s="115">
        <f ca="1">BN190-BM190</f>
        <v>2334773.9026171342</v>
      </c>
      <c r="BO192" s="115">
        <f ca="1">BO190-BN190</f>
        <v>5293809.6652314626</v>
      </c>
    </row>
    <row r="193" spans="1:67" ht="13.4" customHeight="1">
      <c r="A193" s="6"/>
      <c r="B193" s="6"/>
      <c r="C193" s="6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9"/>
      <c r="BJ193" s="19">
        <f t="shared" si="75"/>
        <v>0</v>
      </c>
      <c r="BK193" s="6"/>
      <c r="BL193" s="6"/>
      <c r="BM193" s="6"/>
      <c r="BN193" s="6"/>
      <c r="BO193" s="6"/>
    </row>
    <row r="194" spans="1:67" ht="13.4" customHeight="1">
      <c r="A194" s="6"/>
      <c r="B194" s="6"/>
      <c r="C194" s="6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9"/>
      <c r="BJ194" s="19">
        <f t="shared" si="75"/>
        <v>0</v>
      </c>
      <c r="BK194" s="6"/>
      <c r="BL194" s="6"/>
      <c r="BM194" s="6"/>
      <c r="BN194" s="6"/>
      <c r="BO194" s="6"/>
    </row>
    <row r="195" spans="1:67" ht="13.4" customHeight="1">
      <c r="A195" s="6"/>
      <c r="B195" s="6"/>
      <c r="C195" s="6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9"/>
      <c r="BJ195" s="19">
        <f t="shared" ref="BJ195:BJ258" si="113">A195</f>
        <v>0</v>
      </c>
      <c r="BK195" s="6"/>
      <c r="BL195" s="6"/>
      <c r="BM195" s="6"/>
      <c r="BN195" s="6"/>
      <c r="BO195" s="6"/>
    </row>
    <row r="196" spans="1:67" ht="13.4" customHeight="1">
      <c r="A196" s="140" t="s">
        <v>264</v>
      </c>
      <c r="B196" s="140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1"/>
      <c r="BA196" s="141"/>
      <c r="BB196" s="141"/>
      <c r="BC196" s="141"/>
      <c r="BD196" s="141"/>
      <c r="BE196" s="141"/>
      <c r="BF196" s="141"/>
      <c r="BG196" s="141"/>
      <c r="BH196" s="141"/>
      <c r="BI196" s="142"/>
      <c r="BJ196" s="143" t="str">
        <f t="shared" si="113"/>
        <v>Income Statement</v>
      </c>
      <c r="BK196" s="141"/>
      <c r="BL196" s="141"/>
      <c r="BM196" s="141"/>
      <c r="BN196" s="141"/>
      <c r="BO196" s="141"/>
    </row>
    <row r="197" spans="1:67" ht="13.4" customHeight="1">
      <c r="A197" s="144"/>
      <c r="B197" s="122" t="s">
        <v>151</v>
      </c>
      <c r="C197" s="122" t="s">
        <v>152</v>
      </c>
      <c r="D197" s="122" t="s">
        <v>153</v>
      </c>
      <c r="E197" s="122" t="s">
        <v>154</v>
      </c>
      <c r="F197" s="122" t="s">
        <v>155</v>
      </c>
      <c r="G197" s="122" t="s">
        <v>156</v>
      </c>
      <c r="H197" s="122" t="s">
        <v>157</v>
      </c>
      <c r="I197" s="122" t="s">
        <v>158</v>
      </c>
      <c r="J197" s="122" t="s">
        <v>159</v>
      </c>
      <c r="K197" s="122" t="s">
        <v>160</v>
      </c>
      <c r="L197" s="122" t="s">
        <v>161</v>
      </c>
      <c r="M197" s="122" t="s">
        <v>162</v>
      </c>
      <c r="N197" s="122" t="s">
        <v>163</v>
      </c>
      <c r="O197" s="122" t="s">
        <v>164</v>
      </c>
      <c r="P197" s="122" t="s">
        <v>165</v>
      </c>
      <c r="Q197" s="122" t="s">
        <v>166</v>
      </c>
      <c r="R197" s="122" t="s">
        <v>167</v>
      </c>
      <c r="S197" s="122" t="s">
        <v>168</v>
      </c>
      <c r="T197" s="122" t="s">
        <v>169</v>
      </c>
      <c r="U197" s="122" t="s">
        <v>170</v>
      </c>
      <c r="V197" s="122" t="s">
        <v>171</v>
      </c>
      <c r="W197" s="122" t="s">
        <v>172</v>
      </c>
      <c r="X197" s="122" t="s">
        <v>173</v>
      </c>
      <c r="Y197" s="122" t="s">
        <v>174</v>
      </c>
      <c r="Z197" s="122" t="s">
        <v>175</v>
      </c>
      <c r="AA197" s="122" t="s">
        <v>176</v>
      </c>
      <c r="AB197" s="122" t="s">
        <v>177</v>
      </c>
      <c r="AC197" s="122" t="s">
        <v>178</v>
      </c>
      <c r="AD197" s="122" t="s">
        <v>179</v>
      </c>
      <c r="AE197" s="122" t="s">
        <v>180</v>
      </c>
      <c r="AF197" s="122" t="s">
        <v>181</v>
      </c>
      <c r="AG197" s="122" t="s">
        <v>182</v>
      </c>
      <c r="AH197" s="122" t="s">
        <v>183</v>
      </c>
      <c r="AI197" s="122" t="s">
        <v>184</v>
      </c>
      <c r="AJ197" s="122" t="s">
        <v>185</v>
      </c>
      <c r="AK197" s="122" t="s">
        <v>186</v>
      </c>
      <c r="AL197" s="122" t="s">
        <v>187</v>
      </c>
      <c r="AM197" s="122" t="s">
        <v>188</v>
      </c>
      <c r="AN197" s="122" t="s">
        <v>189</v>
      </c>
      <c r="AO197" s="122" t="s">
        <v>190</v>
      </c>
      <c r="AP197" s="122" t="s">
        <v>191</v>
      </c>
      <c r="AQ197" s="122" t="s">
        <v>192</v>
      </c>
      <c r="AR197" s="122" t="s">
        <v>193</v>
      </c>
      <c r="AS197" s="122" t="s">
        <v>194</v>
      </c>
      <c r="AT197" s="122" t="s">
        <v>195</v>
      </c>
      <c r="AU197" s="122" t="s">
        <v>196</v>
      </c>
      <c r="AV197" s="122" t="s">
        <v>197</v>
      </c>
      <c r="AW197" s="122" t="s">
        <v>198</v>
      </c>
      <c r="AX197" s="122" t="s">
        <v>199</v>
      </c>
      <c r="AY197" s="122" t="s">
        <v>200</v>
      </c>
      <c r="AZ197" s="122" t="s">
        <v>201</v>
      </c>
      <c r="BA197" s="122" t="s">
        <v>202</v>
      </c>
      <c r="BB197" s="122" t="s">
        <v>203</v>
      </c>
      <c r="BC197" s="122" t="s">
        <v>204</v>
      </c>
      <c r="BD197" s="122" t="s">
        <v>205</v>
      </c>
      <c r="BE197" s="122" t="s">
        <v>206</v>
      </c>
      <c r="BF197" s="122" t="s">
        <v>207</v>
      </c>
      <c r="BG197" s="122" t="s">
        <v>208</v>
      </c>
      <c r="BH197" s="122" t="s">
        <v>209</v>
      </c>
      <c r="BI197" s="123" t="s">
        <v>210</v>
      </c>
      <c r="BJ197" s="145">
        <f t="shared" si="113"/>
        <v>0</v>
      </c>
      <c r="BK197" s="81" t="s">
        <v>151</v>
      </c>
      <c r="BL197" s="81" t="s">
        <v>152</v>
      </c>
      <c r="BM197" s="81" t="s">
        <v>153</v>
      </c>
      <c r="BN197" s="81" t="s">
        <v>154</v>
      </c>
      <c r="BO197" s="81" t="s">
        <v>155</v>
      </c>
    </row>
    <row r="198" spans="1:67" ht="13.4" customHeight="1">
      <c r="A198" s="146" t="s">
        <v>265</v>
      </c>
      <c r="B198" s="139">
        <f ca="1">'Projection Model'!B51</f>
        <v>182085.63109608158</v>
      </c>
      <c r="C198" s="139">
        <f ca="1">'Projection Model'!C51</f>
        <v>351864.55431102088</v>
      </c>
      <c r="D198" s="139">
        <f ca="1">'Projection Model'!D51</f>
        <v>687132.49031233659</v>
      </c>
      <c r="E198" s="139">
        <f ca="1">'Projection Model'!E51</f>
        <v>482439.62193564064</v>
      </c>
      <c r="F198" s="139">
        <f ca="1">'Projection Model'!F51</f>
        <v>647516.93398876931</v>
      </c>
      <c r="G198" s="139">
        <f ca="1">'Projection Model'!G51</f>
        <v>1109791.1050954796</v>
      </c>
      <c r="H198" s="139">
        <f ca="1">'Projection Model'!H51</f>
        <v>1068888.1485457476</v>
      </c>
      <c r="I198" s="139">
        <f ca="1">'Projection Model'!I51</f>
        <v>1494151.5285152097</v>
      </c>
      <c r="J198" s="139">
        <f ca="1">'Projection Model'!J51</f>
        <v>1886832.2799725081</v>
      </c>
      <c r="K198" s="139">
        <f ca="1">'Projection Model'!K51</f>
        <v>1871626.5766750814</v>
      </c>
      <c r="L198" s="139">
        <f ca="1">'Projection Model'!L51</f>
        <v>2189231.1225231704</v>
      </c>
      <c r="M198" s="139">
        <f ca="1">'Projection Model'!M51</f>
        <v>1401808.3670834696</v>
      </c>
      <c r="N198" s="139">
        <f ca="1">'Projection Model'!N51</f>
        <v>2954421.567144997</v>
      </c>
      <c r="O198" s="139">
        <f ca="1">'Projection Model'!O51</f>
        <v>2926513.3312614663</v>
      </c>
      <c r="P198" s="139">
        <f ca="1">'Projection Model'!P51</f>
        <v>3611844.6359708346</v>
      </c>
      <c r="Q198" s="139">
        <f ca="1">'Projection Model'!Q51</f>
        <v>3119229.1192094693</v>
      </c>
      <c r="R198" s="139">
        <f ca="1">'Projection Model'!R51</f>
        <v>3540305.3823845079</v>
      </c>
      <c r="S198" s="139">
        <f ca="1">'Projection Model'!S51</f>
        <v>2919528.0365793933</v>
      </c>
      <c r="T198" s="139">
        <f ca="1">'Projection Model'!T51</f>
        <v>3051417.2557190736</v>
      </c>
      <c r="U198" s="139">
        <f ca="1">'Projection Model'!U51</f>
        <v>2858335.7439790033</v>
      </c>
      <c r="V198" s="139">
        <f ca="1">'Projection Model'!V51</f>
        <v>4634672.9427371267</v>
      </c>
      <c r="W198" s="139">
        <f ca="1">'Projection Model'!W51</f>
        <v>5203108.391153465</v>
      </c>
      <c r="X198" s="139">
        <f ca="1">'Projection Model'!X51</f>
        <v>4872613.1118234387</v>
      </c>
      <c r="Y198" s="139">
        <f ca="1">'Projection Model'!Y51</f>
        <v>3488311.7175100092</v>
      </c>
      <c r="Z198" s="139">
        <f ca="1">'Projection Model'!Z51</f>
        <v>6893086.6662446931</v>
      </c>
      <c r="AA198" s="139">
        <f ca="1">'Projection Model'!AA51</f>
        <v>5383546.5739884013</v>
      </c>
      <c r="AB198" s="139">
        <f ca="1">'Projection Model'!AB51</f>
        <v>4847361.2316927928</v>
      </c>
      <c r="AC198" s="139">
        <f ca="1">'Projection Model'!AC51</f>
        <v>7449094.5688335346</v>
      </c>
      <c r="AD198" s="139">
        <f ca="1">'Projection Model'!AD51</f>
        <v>4681514.7310063094</v>
      </c>
      <c r="AE198" s="139">
        <f ca="1">'Projection Model'!AE51</f>
        <v>8172847.7561474824</v>
      </c>
      <c r="AF198" s="139">
        <f ca="1">'Projection Model'!AF51</f>
        <v>5313545.2396808742</v>
      </c>
      <c r="AG198" s="139">
        <f ca="1">'Projection Model'!AG51</f>
        <v>3573014.3696628367</v>
      </c>
      <c r="AH198" s="139">
        <f ca="1">'Projection Model'!AH51</f>
        <v>4207780.7218796425</v>
      </c>
      <c r="AI198" s="139">
        <f ca="1">'Projection Model'!AI51</f>
        <v>6025375.9793201769</v>
      </c>
      <c r="AJ198" s="139">
        <f ca="1">'Projection Model'!AJ51</f>
        <v>12679016.012249809</v>
      </c>
      <c r="AK198" s="139">
        <f ca="1">'Projection Model'!AK51</f>
        <v>6583046.1963055935</v>
      </c>
      <c r="AL198" s="139">
        <f ca="1">'Projection Model'!AL51</f>
        <v>10284601.219654748</v>
      </c>
      <c r="AM198" s="139">
        <f ca="1">'Projection Model'!AM51</f>
        <v>11184786.508164698</v>
      </c>
      <c r="AN198" s="139">
        <f ca="1">'Projection Model'!AN51</f>
        <v>8898775.1334864143</v>
      </c>
      <c r="AO198" s="139">
        <f ca="1">'Projection Model'!AO51</f>
        <v>4270197.1105757197</v>
      </c>
      <c r="AP198" s="139">
        <f ca="1">'Projection Model'!AP51</f>
        <v>5285775.4110959452</v>
      </c>
      <c r="AQ198" s="139">
        <f ca="1">'Projection Model'!AQ51</f>
        <v>7862507.7576071043</v>
      </c>
      <c r="AR198" s="139">
        <f ca="1">'Projection Model'!AR51</f>
        <v>4910344.4390497701</v>
      </c>
      <c r="AS198" s="139">
        <f ca="1">'Projection Model'!AS51</f>
        <v>11104292.511727808</v>
      </c>
      <c r="AT198" s="139">
        <f ca="1">'Projection Model'!AT51</f>
        <v>11418602.453849977</v>
      </c>
      <c r="AU198" s="139">
        <f ca="1">'Projection Model'!AU51</f>
        <v>10331774.495193368</v>
      </c>
      <c r="AV198" s="139">
        <f ca="1">'Projection Model'!AV51</f>
        <v>11326336.829047099</v>
      </c>
      <c r="AW198" s="139">
        <f ca="1">'Projection Model'!AW51</f>
        <v>12518262.834220627</v>
      </c>
      <c r="AX198" s="139">
        <f ca="1">'Projection Model'!AX51</f>
        <v>11212244.572436722</v>
      </c>
      <c r="AY198" s="139">
        <f ca="1">'Projection Model'!AY51</f>
        <v>8942143.3745235503</v>
      </c>
      <c r="AZ198" s="139">
        <f ca="1">'Projection Model'!AZ51</f>
        <v>12612579.771604098</v>
      </c>
      <c r="BA198" s="139">
        <f ca="1">'Projection Model'!BA51</f>
        <v>8108997.2623663293</v>
      </c>
      <c r="BB198" s="139">
        <f ca="1">'Projection Model'!BB51</f>
        <v>11108361.828860372</v>
      </c>
      <c r="BC198" s="139">
        <f ca="1">'Projection Model'!BC51</f>
        <v>16054816.570826832</v>
      </c>
      <c r="BD198" s="139">
        <f ca="1">'Projection Model'!BD51</f>
        <v>16065894.416481972</v>
      </c>
      <c r="BE198" s="139">
        <f ca="1">'Projection Model'!BE51</f>
        <v>21361807.492970847</v>
      </c>
      <c r="BF198" s="139">
        <f ca="1">'Projection Model'!BF51</f>
        <v>21321908.376086652</v>
      </c>
      <c r="BG198" s="139">
        <f ca="1">'Projection Model'!BG51</f>
        <v>19234005.941693824</v>
      </c>
      <c r="BH198" s="139">
        <f ca="1">'Projection Model'!BH51</f>
        <v>11242117.385854686</v>
      </c>
      <c r="BI198" s="147">
        <f ca="1">'Projection Model'!BI51</f>
        <v>19172062.28289732</v>
      </c>
      <c r="BJ198" s="148" t="str">
        <f t="shared" si="113"/>
        <v>Revenue</v>
      </c>
      <c r="BK198" s="139">
        <f ca="1">SUMIFS($B198:$BI198,$B$4:$BI$4,"&lt;=12")</f>
        <v>13373368.360054515</v>
      </c>
      <c r="BL198" s="139">
        <f ca="1">SUMIFS($B198:$BI198,$B$4:$BI$4,"&lt;=24",$B$4:$BI$4,"&gt;12")</f>
        <v>43180301.235472783</v>
      </c>
      <c r="BM198" s="139">
        <f ca="1">SUMIFS($B198:$BI198,$B$4:$BI$4,"&lt;=36",$B$4:$BI$4,"&gt;24")</f>
        <v>75809230.047012135</v>
      </c>
      <c r="BN198" s="139">
        <f ca="1">SUMIFS($B198:$BI198,$B$4:$BI$4,"&lt;=48",$B$4:$BI$4,"&gt;36")</f>
        <v>109396256.70367329</v>
      </c>
      <c r="BO198" s="139">
        <f ca="1">SUMIFS($B198:$BI198,$B$4:$BI$4,"&lt;=60",$B$4:$BI$4,"&gt;48")</f>
        <v>176436939.27660319</v>
      </c>
    </row>
    <row r="199" spans="1:67" ht="13.4" customHeight="1">
      <c r="A199" s="146" t="s">
        <v>266</v>
      </c>
      <c r="B199" s="139">
        <f ca="1">'Projection Model'!B63</f>
        <v>116095.54895116025</v>
      </c>
      <c r="C199" s="139">
        <f ca="1">'Projection Model'!C63</f>
        <v>234372.11721488001</v>
      </c>
      <c r="D199" s="139">
        <f ca="1">'Projection Model'!D63</f>
        <v>430896.85539438215</v>
      </c>
      <c r="E199" s="139">
        <f ca="1">'Projection Model'!E63</f>
        <v>330111.92643982894</v>
      </c>
      <c r="F199" s="139">
        <f ca="1">'Projection Model'!F63</f>
        <v>474165.43189790979</v>
      </c>
      <c r="G199" s="139">
        <f ca="1">'Projection Model'!G63</f>
        <v>716742.52822229569</v>
      </c>
      <c r="H199" s="139">
        <f ca="1">'Projection Model'!H63</f>
        <v>721402.38327688584</v>
      </c>
      <c r="I199" s="139">
        <f ca="1">'Projection Model'!I63</f>
        <v>972479.66722784657</v>
      </c>
      <c r="J199" s="139">
        <f ca="1">'Projection Model'!J63</f>
        <v>1194150.9069394013</v>
      </c>
      <c r="K199" s="139">
        <f ca="1">'Projection Model'!K63</f>
        <v>1242961.1942492786</v>
      </c>
      <c r="L199" s="139">
        <f ca="1">'Projection Model'!L63</f>
        <v>1415134.1516626305</v>
      </c>
      <c r="M199" s="139">
        <f ca="1">'Projection Model'!M63</f>
        <v>968817.05020807695</v>
      </c>
      <c r="N199" s="139">
        <f ca="1">'Projection Model'!N63</f>
        <v>1944939.1495931689</v>
      </c>
      <c r="O199" s="139">
        <f ca="1">'Projection Model'!O63</f>
        <v>1851743.2984203589</v>
      </c>
      <c r="P199" s="139">
        <f ca="1">'Projection Model'!P63</f>
        <v>2359788.4992260896</v>
      </c>
      <c r="Q199" s="139">
        <f ca="1">'Projection Model'!Q63</f>
        <v>2162865.1044358131</v>
      </c>
      <c r="R199" s="139">
        <f ca="1">'Projection Model'!R63</f>
        <v>2283962.5939528672</v>
      </c>
      <c r="S199" s="139">
        <f ca="1">'Projection Model'!S63</f>
        <v>1956440.4415358347</v>
      </c>
      <c r="T199" s="139">
        <f ca="1">'Projection Model'!T63</f>
        <v>2016801.6210216496</v>
      </c>
      <c r="U199" s="139">
        <f ca="1">'Projection Model'!U63</f>
        <v>2131506.8898255918</v>
      </c>
      <c r="V199" s="139">
        <f ca="1">'Projection Model'!V63</f>
        <v>2965412.4075143952</v>
      </c>
      <c r="W199" s="139">
        <f ca="1">'Projection Model'!W63</f>
        <v>3252185.7405890925</v>
      </c>
      <c r="X199" s="139">
        <f ca="1">'Projection Model'!X63</f>
        <v>3389917.6576634767</v>
      </c>
      <c r="Y199" s="139">
        <f ca="1">'Projection Model'!Y63</f>
        <v>2511378.4293902577</v>
      </c>
      <c r="Z199" s="139">
        <f ca="1">'Projection Model'!Z63</f>
        <v>4365258.1684004785</v>
      </c>
      <c r="AA199" s="139">
        <f ca="1">'Projection Model'!AA63</f>
        <v>3629502.3265789356</v>
      </c>
      <c r="AB199" s="139">
        <f ca="1">'Projection Model'!AB63</f>
        <v>3081977.8111813031</v>
      </c>
      <c r="AC199" s="139">
        <f ca="1">'Projection Model'!AC63</f>
        <v>5080155.3849815596</v>
      </c>
      <c r="AD199" s="139">
        <f ca="1">'Projection Model'!AD63</f>
        <v>3473560.6102617132</v>
      </c>
      <c r="AE199" s="139">
        <f ca="1">'Projection Model'!AE63</f>
        <v>5664367.6045392137</v>
      </c>
      <c r="AF199" s="139">
        <f ca="1">'Projection Model'!AF63</f>
        <v>3616403.595678308</v>
      </c>
      <c r="AG199" s="139">
        <f ca="1">'Projection Model'!AG63</f>
        <v>2551428.3844076786</v>
      </c>
      <c r="AH199" s="139">
        <f ca="1">'Projection Model'!AH63</f>
        <v>3013564.9587263511</v>
      </c>
      <c r="AI199" s="139">
        <f ca="1">'Projection Model'!AI63</f>
        <v>4042978.5243019592</v>
      </c>
      <c r="AJ199" s="139">
        <f ca="1">'Projection Model'!AJ63</f>
        <v>7921019.1410720758</v>
      </c>
      <c r="AK199" s="139">
        <f ca="1">'Projection Model'!AK63</f>
        <v>4314661.7329991739</v>
      </c>
      <c r="AL199" s="139">
        <f ca="1">'Projection Model'!AL63</f>
        <v>7002867.9946893547</v>
      </c>
      <c r="AM199" s="139">
        <f ca="1">'Projection Model'!AM63</f>
        <v>7542502.6046555135</v>
      </c>
      <c r="AN199" s="139">
        <f ca="1">'Projection Model'!AN63</f>
        <v>6587607.8463663813</v>
      </c>
      <c r="AO199" s="139">
        <f ca="1">'Projection Model'!AO63</f>
        <v>3887077.2997935172</v>
      </c>
      <c r="AP199" s="139">
        <f ca="1">'Projection Model'!AP63</f>
        <v>3717273.1876284955</v>
      </c>
      <c r="AQ199" s="139">
        <f ca="1">'Projection Model'!AQ63</f>
        <v>5231629.5430293661</v>
      </c>
      <c r="AR199" s="139">
        <f ca="1">'Projection Model'!AR63</f>
        <v>4177758.1611159025</v>
      </c>
      <c r="AS199" s="139">
        <f ca="1">'Projection Model'!AS63</f>
        <v>7210442.62832026</v>
      </c>
      <c r="AT199" s="139">
        <f ca="1">'Projection Model'!AT63</f>
        <v>7377057.7982538845</v>
      </c>
      <c r="AU199" s="139">
        <f ca="1">'Projection Model'!AU63</f>
        <v>7061172.9345622798</v>
      </c>
      <c r="AV199" s="139">
        <f ca="1">'Projection Model'!AV63</f>
        <v>8121431.8428783398</v>
      </c>
      <c r="AW199" s="139">
        <f ca="1">'Projection Model'!AW63</f>
        <v>7705010.2159045395</v>
      </c>
      <c r="AX199" s="139">
        <f ca="1">'Projection Model'!AX63</f>
        <v>7543485.6011852548</v>
      </c>
      <c r="AY199" s="139">
        <f ca="1">'Projection Model'!AY63</f>
        <v>6616113.6517759711</v>
      </c>
      <c r="AZ199" s="139">
        <f ca="1">'Projection Model'!AZ63</f>
        <v>8523606.0934075657</v>
      </c>
      <c r="BA199" s="139">
        <f ca="1">'Projection Model'!BA63</f>
        <v>6262177.1755646709</v>
      </c>
      <c r="BB199" s="139">
        <f ca="1">'Projection Model'!BB63</f>
        <v>7574366.723540049</v>
      </c>
      <c r="BC199" s="139">
        <f ca="1">'Projection Model'!BC63</f>
        <v>10249198.919184051</v>
      </c>
      <c r="BD199" s="139">
        <f ca="1">'Projection Model'!BD63</f>
        <v>11032436.85694517</v>
      </c>
      <c r="BE199" s="139">
        <f ca="1">'Projection Model'!BE63</f>
        <v>13964503.436901405</v>
      </c>
      <c r="BF199" s="139">
        <f ca="1">'Projection Model'!BF63</f>
        <v>14107637.937465053</v>
      </c>
      <c r="BG199" s="139">
        <f ca="1">'Projection Model'!BG63</f>
        <v>12586415.029411091</v>
      </c>
      <c r="BH199" s="139">
        <f ca="1">'Projection Model'!BH63</f>
        <v>7771610.3635536712</v>
      </c>
      <c r="BI199" s="147">
        <f ca="1">'Projection Model'!BI63</f>
        <v>12957126.209222339</v>
      </c>
      <c r="BJ199" s="148" t="str">
        <f t="shared" si="113"/>
        <v>Cost of Goods Sold</v>
      </c>
      <c r="BK199" s="139">
        <f ca="1">SUMIFS($B199:$BI199,$B$4:$BI$4,"&lt;=12")</f>
        <v>8817329.761684576</v>
      </c>
      <c r="BL199" s="139">
        <f ca="1">SUMIFS($B199:$BI199,$B$4:$BI$4,"&lt;=24",$B$4:$BI$4,"&gt;12")</f>
        <v>28826941.833168596</v>
      </c>
      <c r="BM199" s="139">
        <f ca="1">SUMIFS($B199:$BI199,$B$4:$BI$4,"&lt;=36",$B$4:$BI$4,"&gt;24")</f>
        <v>50754878.243128762</v>
      </c>
      <c r="BN199" s="139">
        <f ca="1">SUMIFS($B199:$BI199,$B$4:$BI$4,"&lt;=48",$B$4:$BI$4,"&gt;36")</f>
        <v>75621832.057197824</v>
      </c>
      <c r="BO199" s="139">
        <f ca="1">SUMIFS($B199:$BI199,$B$4:$BI$4,"&lt;=60",$B$4:$BI$4,"&gt;48")</f>
        <v>119188677.99815631</v>
      </c>
    </row>
    <row r="200" spans="1:67" ht="13.4" customHeight="1">
      <c r="A200" s="146" t="s">
        <v>267</v>
      </c>
      <c r="B200" s="139">
        <f t="shared" ref="B200:AG200" ca="1" si="114">B198-B199</f>
        <v>65990.082144921325</v>
      </c>
      <c r="C200" s="139">
        <f t="shared" ca="1" si="114"/>
        <v>117492.43709614087</v>
      </c>
      <c r="D200" s="139">
        <f t="shared" ca="1" si="114"/>
        <v>256235.63491795445</v>
      </c>
      <c r="E200" s="139">
        <f t="shared" ca="1" si="114"/>
        <v>152327.6954958117</v>
      </c>
      <c r="F200" s="139">
        <f t="shared" ca="1" si="114"/>
        <v>173351.50209085952</v>
      </c>
      <c r="G200" s="139">
        <f t="shared" ca="1" si="114"/>
        <v>393048.57687318395</v>
      </c>
      <c r="H200" s="139">
        <f t="shared" ca="1" si="114"/>
        <v>347485.76526886178</v>
      </c>
      <c r="I200" s="139">
        <f t="shared" ca="1" si="114"/>
        <v>521671.86128736311</v>
      </c>
      <c r="J200" s="139">
        <f t="shared" ca="1" si="114"/>
        <v>692681.37303310679</v>
      </c>
      <c r="K200" s="139">
        <f t="shared" ca="1" si="114"/>
        <v>628665.38242580276</v>
      </c>
      <c r="L200" s="139">
        <f t="shared" ca="1" si="114"/>
        <v>774096.97086053994</v>
      </c>
      <c r="M200" s="139">
        <f t="shared" ca="1" si="114"/>
        <v>432991.31687539269</v>
      </c>
      <c r="N200" s="139">
        <f t="shared" ca="1" si="114"/>
        <v>1009482.4175518281</v>
      </c>
      <c r="O200" s="139">
        <f t="shared" ca="1" si="114"/>
        <v>1074770.0328411073</v>
      </c>
      <c r="P200" s="139">
        <f t="shared" ca="1" si="114"/>
        <v>1252056.1367447451</v>
      </c>
      <c r="Q200" s="139">
        <f t="shared" ca="1" si="114"/>
        <v>956364.01477365615</v>
      </c>
      <c r="R200" s="139">
        <f t="shared" ca="1" si="114"/>
        <v>1256342.7884316407</v>
      </c>
      <c r="S200" s="139">
        <f t="shared" ca="1" si="114"/>
        <v>963087.59504355863</v>
      </c>
      <c r="T200" s="139">
        <f t="shared" ca="1" si="114"/>
        <v>1034615.634697424</v>
      </c>
      <c r="U200" s="139">
        <f t="shared" ca="1" si="114"/>
        <v>726828.85415341146</v>
      </c>
      <c r="V200" s="139">
        <f t="shared" ca="1" si="114"/>
        <v>1669260.5352227315</v>
      </c>
      <c r="W200" s="139">
        <f t="shared" ca="1" si="114"/>
        <v>1950922.6505643725</v>
      </c>
      <c r="X200" s="139">
        <f t="shared" ca="1" si="114"/>
        <v>1482695.454159962</v>
      </c>
      <c r="Y200" s="139">
        <f t="shared" ca="1" si="114"/>
        <v>976933.28811975149</v>
      </c>
      <c r="Z200" s="139">
        <f t="shared" ca="1" si="114"/>
        <v>2527828.4978442146</v>
      </c>
      <c r="AA200" s="139">
        <f t="shared" ca="1" si="114"/>
        <v>1754044.2474094657</v>
      </c>
      <c r="AB200" s="139">
        <f t="shared" ca="1" si="114"/>
        <v>1765383.4205114897</v>
      </c>
      <c r="AC200" s="139">
        <f t="shared" ca="1" si="114"/>
        <v>2368939.183851975</v>
      </c>
      <c r="AD200" s="139">
        <f t="shared" ca="1" si="114"/>
        <v>1207954.1207445962</v>
      </c>
      <c r="AE200" s="139">
        <f t="shared" ca="1" si="114"/>
        <v>2508480.1516082687</v>
      </c>
      <c r="AF200" s="139">
        <f t="shared" ca="1" si="114"/>
        <v>1697141.6440025661</v>
      </c>
      <c r="AG200" s="139">
        <f t="shared" ca="1" si="114"/>
        <v>1021585.985255158</v>
      </c>
      <c r="AH200" s="139">
        <f t="shared" ref="AH200:BM200" ca="1" si="115">AH198-AH199</f>
        <v>1194215.7631532913</v>
      </c>
      <c r="AI200" s="139">
        <f t="shared" ca="1" si="115"/>
        <v>1982397.4550182177</v>
      </c>
      <c r="AJ200" s="139">
        <f t="shared" ca="1" si="115"/>
        <v>4757996.8711777329</v>
      </c>
      <c r="AK200" s="139">
        <f t="shared" ca="1" si="115"/>
        <v>2268384.4633064196</v>
      </c>
      <c r="AL200" s="139">
        <f t="shared" ca="1" si="115"/>
        <v>3281733.2249653935</v>
      </c>
      <c r="AM200" s="139">
        <f t="shared" ca="1" si="115"/>
        <v>3642283.9035091847</v>
      </c>
      <c r="AN200" s="139">
        <f t="shared" ca="1" si="115"/>
        <v>2311167.2871200331</v>
      </c>
      <c r="AO200" s="139">
        <f t="shared" ca="1" si="115"/>
        <v>383119.81078220252</v>
      </c>
      <c r="AP200" s="139">
        <f t="shared" ca="1" si="115"/>
        <v>1568502.2234674497</v>
      </c>
      <c r="AQ200" s="139">
        <f t="shared" ca="1" si="115"/>
        <v>2630878.2145777382</v>
      </c>
      <c r="AR200" s="139">
        <f t="shared" ca="1" si="115"/>
        <v>732586.27793386765</v>
      </c>
      <c r="AS200" s="139">
        <f t="shared" ca="1" si="115"/>
        <v>3893849.8834075481</v>
      </c>
      <c r="AT200" s="139">
        <f t="shared" ca="1" si="115"/>
        <v>4041544.6555960923</v>
      </c>
      <c r="AU200" s="139">
        <f t="shared" ca="1" si="115"/>
        <v>3270601.560631088</v>
      </c>
      <c r="AV200" s="139">
        <f t="shared" ca="1" si="115"/>
        <v>3204904.9861687589</v>
      </c>
      <c r="AW200" s="139">
        <f t="shared" ca="1" si="115"/>
        <v>4813252.6183160879</v>
      </c>
      <c r="AX200" s="139">
        <f t="shared" ca="1" si="115"/>
        <v>3668758.9712514672</v>
      </c>
      <c r="AY200" s="139">
        <f t="shared" ca="1" si="115"/>
        <v>2326029.7227475792</v>
      </c>
      <c r="AZ200" s="139">
        <f t="shared" ca="1" si="115"/>
        <v>4088973.6781965327</v>
      </c>
      <c r="BA200" s="139">
        <f t="shared" ca="1" si="115"/>
        <v>1846820.0868016584</v>
      </c>
      <c r="BB200" s="139">
        <f t="shared" ca="1" si="115"/>
        <v>3533995.1053203233</v>
      </c>
      <c r="BC200" s="139">
        <f t="shared" ca="1" si="115"/>
        <v>5805617.6516427808</v>
      </c>
      <c r="BD200" s="139">
        <f t="shared" ca="1" si="115"/>
        <v>5033457.5595368017</v>
      </c>
      <c r="BE200" s="139">
        <f t="shared" ca="1" si="115"/>
        <v>7397304.0560694411</v>
      </c>
      <c r="BF200" s="139">
        <f t="shared" ca="1" si="115"/>
        <v>7214270.4386215992</v>
      </c>
      <c r="BG200" s="139">
        <f t="shared" ca="1" si="115"/>
        <v>6647590.9122827332</v>
      </c>
      <c r="BH200" s="139">
        <f t="shared" ca="1" si="115"/>
        <v>3470507.0223010145</v>
      </c>
      <c r="BI200" s="139">
        <f t="shared" ca="1" si="115"/>
        <v>6214936.0736749806</v>
      </c>
      <c r="BJ200" s="148" t="str">
        <f t="shared" si="113"/>
        <v>Gross Margin</v>
      </c>
      <c r="BK200" s="139">
        <f ca="1">SUMIFS($B200:$BI200,$B$4:$BI$4,"&lt;=12")</f>
        <v>4556038.5983699393</v>
      </c>
      <c r="BL200" s="139">
        <f ca="1">SUMIFS($B200:$BI200,$B$4:$BI$4,"&lt;=24",$B$4:$BI$4,"&gt;12")</f>
        <v>14353359.402304189</v>
      </c>
      <c r="BM200" s="139">
        <f ca="1">SUMIFS($B200:$BI200,$B$4:$BI$4,"&lt;=36",$B$4:$BI$4,"&gt;24")</f>
        <v>25054351.8038834</v>
      </c>
      <c r="BN200" s="139">
        <f ca="1">SUMIFS($B200:$BI200,$B$4:$BI$4,"&lt;=48",$B$4:$BI$4,"&gt;36")</f>
        <v>33774424.646475449</v>
      </c>
      <c r="BO200" s="139">
        <f ca="1">SUMIFS($B200:$BI200,$B$4:$BI$4,"&lt;=60",$B$4:$BI$4,"&gt;48")</f>
        <v>57248261.278446913</v>
      </c>
    </row>
    <row r="201" spans="1:67" ht="13.4" customHeight="1">
      <c r="A201" s="146"/>
      <c r="B201" s="149"/>
      <c r="C201" s="149"/>
      <c r="D201" s="149"/>
      <c r="E201" s="149"/>
      <c r="F201" s="149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0"/>
      <c r="AG201" s="150"/>
      <c r="AH201" s="150"/>
      <c r="AI201" s="150"/>
      <c r="AJ201" s="150"/>
      <c r="AK201" s="150"/>
      <c r="AL201" s="150"/>
      <c r="AM201" s="150"/>
      <c r="AN201" s="150"/>
      <c r="AO201" s="150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1"/>
      <c r="BJ201" s="148">
        <f t="shared" si="113"/>
        <v>0</v>
      </c>
      <c r="BK201" s="149"/>
      <c r="BL201" s="149"/>
      <c r="BM201" s="149"/>
      <c r="BN201" s="149"/>
      <c r="BO201" s="150"/>
    </row>
    <row r="202" spans="1:67" ht="13.4" customHeight="1">
      <c r="A202" s="146" t="s">
        <v>268</v>
      </c>
      <c r="B202" s="149"/>
      <c r="C202" s="149"/>
      <c r="D202" s="149"/>
      <c r="E202" s="149"/>
      <c r="F202" s="149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150"/>
      <c r="AJ202" s="150"/>
      <c r="AK202" s="150"/>
      <c r="AL202" s="150"/>
      <c r="AM202" s="150"/>
      <c r="AN202" s="150"/>
      <c r="AO202" s="150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1"/>
      <c r="BJ202" s="148" t="str">
        <f t="shared" si="113"/>
        <v>Operating expenses</v>
      </c>
      <c r="BK202" s="149"/>
      <c r="BL202" s="149"/>
      <c r="BM202" s="149"/>
      <c r="BN202" s="149"/>
      <c r="BO202" s="150"/>
    </row>
    <row r="203" spans="1:67" ht="13.4" customHeight="1">
      <c r="A203" s="149" t="s">
        <v>269</v>
      </c>
      <c r="B203" s="125">
        <f t="shared" ref="B203:AG203" si="116">B66</f>
        <v>650</v>
      </c>
      <c r="C203" s="125">
        <f t="shared" si="116"/>
        <v>650</v>
      </c>
      <c r="D203" s="125">
        <f t="shared" si="116"/>
        <v>650</v>
      </c>
      <c r="E203" s="125">
        <f t="shared" si="116"/>
        <v>650</v>
      </c>
      <c r="F203" s="125">
        <f t="shared" si="116"/>
        <v>650</v>
      </c>
      <c r="G203" s="125">
        <f t="shared" si="116"/>
        <v>650</v>
      </c>
      <c r="H203" s="125">
        <f t="shared" si="116"/>
        <v>650</v>
      </c>
      <c r="I203" s="125">
        <f t="shared" si="116"/>
        <v>650</v>
      </c>
      <c r="J203" s="125">
        <f t="shared" si="116"/>
        <v>650</v>
      </c>
      <c r="K203" s="125">
        <f t="shared" si="116"/>
        <v>650</v>
      </c>
      <c r="L203" s="125">
        <f t="shared" si="116"/>
        <v>650</v>
      </c>
      <c r="M203" s="125">
        <f t="shared" si="116"/>
        <v>650</v>
      </c>
      <c r="N203" s="125">
        <f t="shared" si="116"/>
        <v>650</v>
      </c>
      <c r="O203" s="125">
        <f t="shared" si="116"/>
        <v>650</v>
      </c>
      <c r="P203" s="125">
        <f t="shared" si="116"/>
        <v>650</v>
      </c>
      <c r="Q203" s="125">
        <f t="shared" si="116"/>
        <v>650</v>
      </c>
      <c r="R203" s="125">
        <f t="shared" si="116"/>
        <v>650</v>
      </c>
      <c r="S203" s="125">
        <f t="shared" si="116"/>
        <v>650</v>
      </c>
      <c r="T203" s="125">
        <f t="shared" si="116"/>
        <v>650</v>
      </c>
      <c r="U203" s="125">
        <f t="shared" si="116"/>
        <v>650</v>
      </c>
      <c r="V203" s="125">
        <f t="shared" si="116"/>
        <v>650</v>
      </c>
      <c r="W203" s="125">
        <f t="shared" si="116"/>
        <v>650</v>
      </c>
      <c r="X203" s="125">
        <f t="shared" si="116"/>
        <v>650</v>
      </c>
      <c r="Y203" s="125">
        <f t="shared" si="116"/>
        <v>650</v>
      </c>
      <c r="Z203" s="125">
        <f t="shared" si="116"/>
        <v>650</v>
      </c>
      <c r="AA203" s="125">
        <f t="shared" si="116"/>
        <v>650</v>
      </c>
      <c r="AB203" s="125">
        <f t="shared" si="116"/>
        <v>650</v>
      </c>
      <c r="AC203" s="125">
        <f t="shared" si="116"/>
        <v>650</v>
      </c>
      <c r="AD203" s="125">
        <f t="shared" si="116"/>
        <v>650</v>
      </c>
      <c r="AE203" s="125">
        <f t="shared" si="116"/>
        <v>650</v>
      </c>
      <c r="AF203" s="125">
        <f t="shared" si="116"/>
        <v>650</v>
      </c>
      <c r="AG203" s="125">
        <f t="shared" si="116"/>
        <v>650</v>
      </c>
      <c r="AH203" s="125">
        <f t="shared" ref="AH203:BI203" si="117">AH66</f>
        <v>650</v>
      </c>
      <c r="AI203" s="125">
        <f t="shared" si="117"/>
        <v>650</v>
      </c>
      <c r="AJ203" s="125">
        <f t="shared" si="117"/>
        <v>650</v>
      </c>
      <c r="AK203" s="125">
        <f t="shared" si="117"/>
        <v>650</v>
      </c>
      <c r="AL203" s="125">
        <f t="shared" si="117"/>
        <v>650</v>
      </c>
      <c r="AM203" s="125">
        <f t="shared" si="117"/>
        <v>650</v>
      </c>
      <c r="AN203" s="125">
        <f t="shared" si="117"/>
        <v>650</v>
      </c>
      <c r="AO203" s="125">
        <f t="shared" si="117"/>
        <v>650</v>
      </c>
      <c r="AP203" s="125">
        <f t="shared" si="117"/>
        <v>650</v>
      </c>
      <c r="AQ203" s="125">
        <f t="shared" si="117"/>
        <v>650</v>
      </c>
      <c r="AR203" s="125">
        <f t="shared" si="117"/>
        <v>650</v>
      </c>
      <c r="AS203" s="125">
        <f t="shared" si="117"/>
        <v>650</v>
      </c>
      <c r="AT203" s="125">
        <f t="shared" si="117"/>
        <v>650</v>
      </c>
      <c r="AU203" s="125">
        <f t="shared" si="117"/>
        <v>650</v>
      </c>
      <c r="AV203" s="125">
        <f t="shared" si="117"/>
        <v>650</v>
      </c>
      <c r="AW203" s="125">
        <f t="shared" si="117"/>
        <v>650</v>
      </c>
      <c r="AX203" s="125">
        <f t="shared" si="117"/>
        <v>650</v>
      </c>
      <c r="AY203" s="125">
        <f t="shared" si="117"/>
        <v>650</v>
      </c>
      <c r="AZ203" s="125">
        <f t="shared" si="117"/>
        <v>650</v>
      </c>
      <c r="BA203" s="125">
        <f t="shared" si="117"/>
        <v>650</v>
      </c>
      <c r="BB203" s="125">
        <f t="shared" si="117"/>
        <v>650</v>
      </c>
      <c r="BC203" s="125">
        <f t="shared" si="117"/>
        <v>650</v>
      </c>
      <c r="BD203" s="125">
        <f t="shared" si="117"/>
        <v>650</v>
      </c>
      <c r="BE203" s="125">
        <f t="shared" si="117"/>
        <v>650</v>
      </c>
      <c r="BF203" s="125">
        <f t="shared" si="117"/>
        <v>650</v>
      </c>
      <c r="BG203" s="125">
        <f t="shared" si="117"/>
        <v>650</v>
      </c>
      <c r="BH203" s="125">
        <f t="shared" si="117"/>
        <v>650</v>
      </c>
      <c r="BI203" s="125">
        <f t="shared" si="117"/>
        <v>650</v>
      </c>
      <c r="BJ203" s="152" t="str">
        <f t="shared" si="113"/>
        <v xml:space="preserve">    Research &amp; Development expense</v>
      </c>
      <c r="BK203" s="125">
        <f t="shared" ref="BK203:BK209" si="118">SUMIFS($B203:$BI203,$B$4:$BI$4,"&lt;=12")</f>
        <v>7800</v>
      </c>
      <c r="BL203" s="125">
        <f t="shared" ref="BL203:BL209" si="119">SUMIFS($B203:$BI203,$B$4:$BI$4,"&lt;=24",$B$4:$BI$4,"&gt;12")</f>
        <v>7800</v>
      </c>
      <c r="BM203" s="125">
        <f t="shared" ref="BM203:BM209" si="120">SUMIFS($B203:$BI203,$B$4:$BI$4,"&lt;=36",$B$4:$BI$4,"&gt;24")</f>
        <v>7800</v>
      </c>
      <c r="BN203" s="125">
        <f t="shared" ref="BN203:BN209" si="121">SUMIFS($B203:$BI203,$B$4:$BI$4,"&lt;=48",$B$4:$BI$4,"&gt;36")</f>
        <v>7800</v>
      </c>
      <c r="BO203" s="125">
        <f t="shared" ref="BO203:BO209" si="122">SUMIFS($B203:$BI203,$B$4:$BI$4,"&lt;=60",$B$4:$BI$4,"&gt;48")</f>
        <v>7800</v>
      </c>
    </row>
    <row r="204" spans="1:67" ht="13.4" customHeight="1">
      <c r="A204" s="149" t="s">
        <v>270</v>
      </c>
      <c r="B204" s="139">
        <f t="shared" ref="B204:AG204" ca="1" si="123">B67</f>
        <v>9104.2815548040799</v>
      </c>
      <c r="C204" s="139">
        <f t="shared" ca="1" si="123"/>
        <v>17593.227715551046</v>
      </c>
      <c r="D204" s="139">
        <f t="shared" ca="1" si="123"/>
        <v>34356.62451561683</v>
      </c>
      <c r="E204" s="139">
        <f t="shared" ca="1" si="123"/>
        <v>24121.981096782034</v>
      </c>
      <c r="F204" s="139">
        <f t="shared" ca="1" si="123"/>
        <v>32375.846699438465</v>
      </c>
      <c r="G204" s="139">
        <f t="shared" ca="1" si="123"/>
        <v>55489.555254773986</v>
      </c>
      <c r="H204" s="139">
        <f t="shared" ca="1" si="123"/>
        <v>53444.407427287384</v>
      </c>
      <c r="I204" s="139">
        <f t="shared" ca="1" si="123"/>
        <v>74707.57642576049</v>
      </c>
      <c r="J204" s="139">
        <f t="shared" ca="1" si="123"/>
        <v>94341.613998625413</v>
      </c>
      <c r="K204" s="139">
        <f t="shared" ca="1" si="123"/>
        <v>93581.328833754073</v>
      </c>
      <c r="L204" s="139">
        <f t="shared" ca="1" si="123"/>
        <v>109461.55612615852</v>
      </c>
      <c r="M204" s="139">
        <f t="shared" ca="1" si="123"/>
        <v>70090.418354173482</v>
      </c>
      <c r="N204" s="139">
        <f t="shared" ca="1" si="123"/>
        <v>147721.07835724985</v>
      </c>
      <c r="O204" s="139">
        <f t="shared" ca="1" si="123"/>
        <v>146325.66656307332</v>
      </c>
      <c r="P204" s="139">
        <f t="shared" ca="1" si="123"/>
        <v>180592.23179854173</v>
      </c>
      <c r="Q204" s="139">
        <f t="shared" ca="1" si="123"/>
        <v>155961.45596047348</v>
      </c>
      <c r="R204" s="139">
        <f t="shared" ca="1" si="123"/>
        <v>177015.26911922541</v>
      </c>
      <c r="S204" s="139">
        <f t="shared" ca="1" si="123"/>
        <v>145976.40182896968</v>
      </c>
      <c r="T204" s="139">
        <f t="shared" ca="1" si="123"/>
        <v>152570.86278595368</v>
      </c>
      <c r="U204" s="139">
        <f t="shared" ca="1" si="123"/>
        <v>142916.78719895016</v>
      </c>
      <c r="V204" s="139">
        <f t="shared" ca="1" si="123"/>
        <v>231733.64713685634</v>
      </c>
      <c r="W204" s="139">
        <f t="shared" ca="1" si="123"/>
        <v>260155.41955767327</v>
      </c>
      <c r="X204" s="139">
        <f t="shared" ca="1" si="123"/>
        <v>243630.65559117193</v>
      </c>
      <c r="Y204" s="139">
        <f t="shared" ca="1" si="123"/>
        <v>174415.58587550046</v>
      </c>
      <c r="Z204" s="139">
        <f t="shared" ca="1" si="123"/>
        <v>344654.33331223467</v>
      </c>
      <c r="AA204" s="139">
        <f t="shared" ca="1" si="123"/>
        <v>269177.32869942009</v>
      </c>
      <c r="AB204" s="139">
        <f t="shared" ca="1" si="123"/>
        <v>242368.06158463965</v>
      </c>
      <c r="AC204" s="139">
        <f t="shared" ca="1" si="123"/>
        <v>372454.72844167677</v>
      </c>
      <c r="AD204" s="139">
        <f t="shared" ca="1" si="123"/>
        <v>234075.73655031549</v>
      </c>
      <c r="AE204" s="139">
        <f t="shared" ca="1" si="123"/>
        <v>408642.38780737412</v>
      </c>
      <c r="AF204" s="139">
        <f t="shared" ca="1" si="123"/>
        <v>265677.2619840437</v>
      </c>
      <c r="AG204" s="139">
        <f t="shared" ca="1" si="123"/>
        <v>178650.71848314186</v>
      </c>
      <c r="AH204" s="139">
        <f t="shared" ref="AH204:BI204" ca="1" si="124">AH67</f>
        <v>210389.03609398214</v>
      </c>
      <c r="AI204" s="139">
        <f t="shared" ca="1" si="124"/>
        <v>301268.79896600888</v>
      </c>
      <c r="AJ204" s="139">
        <f t="shared" ca="1" si="124"/>
        <v>633950.80061249051</v>
      </c>
      <c r="AK204" s="139">
        <f t="shared" ca="1" si="124"/>
        <v>329152.30981527967</v>
      </c>
      <c r="AL204" s="139">
        <f t="shared" ca="1" si="124"/>
        <v>514230.06098273746</v>
      </c>
      <c r="AM204" s="139">
        <f t="shared" ca="1" si="124"/>
        <v>559239.32540823496</v>
      </c>
      <c r="AN204" s="139">
        <f t="shared" ca="1" si="124"/>
        <v>444938.75667432073</v>
      </c>
      <c r="AO204" s="139">
        <f t="shared" ca="1" si="124"/>
        <v>213509.85552878599</v>
      </c>
      <c r="AP204" s="139">
        <f t="shared" ca="1" si="124"/>
        <v>264288.77055479726</v>
      </c>
      <c r="AQ204" s="139">
        <f t="shared" ca="1" si="124"/>
        <v>393125.38788035524</v>
      </c>
      <c r="AR204" s="139">
        <f t="shared" ca="1" si="124"/>
        <v>245517.22195248853</v>
      </c>
      <c r="AS204" s="139">
        <f t="shared" ca="1" si="124"/>
        <v>555214.62558639038</v>
      </c>
      <c r="AT204" s="139">
        <f t="shared" ca="1" si="124"/>
        <v>570930.12269249884</v>
      </c>
      <c r="AU204" s="139">
        <f t="shared" ca="1" si="124"/>
        <v>516588.7247596684</v>
      </c>
      <c r="AV204" s="139">
        <f t="shared" ca="1" si="124"/>
        <v>566316.84145235491</v>
      </c>
      <c r="AW204" s="139">
        <f t="shared" ca="1" si="124"/>
        <v>625913.14171103144</v>
      </c>
      <c r="AX204" s="139">
        <f t="shared" ca="1" si="124"/>
        <v>560612.22862183617</v>
      </c>
      <c r="AY204" s="139">
        <f t="shared" ca="1" si="124"/>
        <v>447107.16872617754</v>
      </c>
      <c r="AZ204" s="139">
        <f t="shared" ca="1" si="124"/>
        <v>630628.98858020501</v>
      </c>
      <c r="BA204" s="139">
        <f t="shared" ca="1" si="124"/>
        <v>405449.86311831651</v>
      </c>
      <c r="BB204" s="139">
        <f t="shared" ca="1" si="124"/>
        <v>555418.09144301864</v>
      </c>
      <c r="BC204" s="139">
        <f t="shared" ca="1" si="124"/>
        <v>802740.8285413417</v>
      </c>
      <c r="BD204" s="139">
        <f t="shared" ca="1" si="124"/>
        <v>803294.72082409868</v>
      </c>
      <c r="BE204" s="139">
        <f t="shared" ca="1" si="124"/>
        <v>1068090.3746485424</v>
      </c>
      <c r="BF204" s="139">
        <f t="shared" ca="1" si="124"/>
        <v>1066095.4188043326</v>
      </c>
      <c r="BG204" s="139">
        <f t="shared" ca="1" si="124"/>
        <v>961700.29708469124</v>
      </c>
      <c r="BH204" s="139">
        <f t="shared" ca="1" si="124"/>
        <v>562105.86929273431</v>
      </c>
      <c r="BI204" s="139">
        <f t="shared" ca="1" si="124"/>
        <v>958603.11414486601</v>
      </c>
      <c r="BJ204" s="152" t="str">
        <f t="shared" si="113"/>
        <v xml:space="preserve">    General &amp; Admin expense</v>
      </c>
      <c r="BK204" s="139">
        <f t="shared" ca="1" si="118"/>
        <v>668668.41800272581</v>
      </c>
      <c r="BL204" s="139">
        <f t="shared" ca="1" si="119"/>
        <v>2159015.0617736392</v>
      </c>
      <c r="BM204" s="139">
        <f t="shared" ca="1" si="120"/>
        <v>3790461.502350607</v>
      </c>
      <c r="BN204" s="139">
        <f t="shared" ca="1" si="121"/>
        <v>5469812.8351836633</v>
      </c>
      <c r="BO204" s="139">
        <f t="shared" ca="1" si="122"/>
        <v>8821846.96383016</v>
      </c>
    </row>
    <row r="205" spans="1:67" ht="13.4" customHeight="1">
      <c r="A205" s="149" t="s">
        <v>271</v>
      </c>
      <c r="B205" s="139">
        <f t="shared" ref="B205:AG205" ca="1" si="125">B69</f>
        <v>10017</v>
      </c>
      <c r="C205" s="139">
        <f t="shared" ca="1" si="125"/>
        <v>9922</v>
      </c>
      <c r="D205" s="139">
        <f t="shared" ca="1" si="125"/>
        <v>10195</v>
      </c>
      <c r="E205" s="139">
        <f t="shared" ca="1" si="125"/>
        <v>10210</v>
      </c>
      <c r="F205" s="139">
        <f t="shared" ca="1" si="125"/>
        <v>10384</v>
      </c>
      <c r="G205" s="139">
        <f t="shared" ca="1" si="125"/>
        <v>10426</v>
      </c>
      <c r="H205" s="139">
        <f t="shared" ca="1" si="125"/>
        <v>10545</v>
      </c>
      <c r="I205" s="139">
        <f t="shared" ca="1" si="125"/>
        <v>10740</v>
      </c>
      <c r="J205" s="139">
        <f t="shared" ca="1" si="125"/>
        <v>10857</v>
      </c>
      <c r="K205" s="139">
        <f t="shared" ca="1" si="125"/>
        <v>11098</v>
      </c>
      <c r="L205" s="139">
        <f t="shared" ca="1" si="125"/>
        <v>11197</v>
      </c>
      <c r="M205" s="139">
        <f t="shared" ca="1" si="125"/>
        <v>11108</v>
      </c>
      <c r="N205" s="139">
        <f t="shared" ca="1" si="125"/>
        <v>11303</v>
      </c>
      <c r="O205" s="139">
        <f t="shared" ca="1" si="125"/>
        <v>11518</v>
      </c>
      <c r="P205" s="139">
        <f t="shared" ca="1" si="125"/>
        <v>11672</v>
      </c>
      <c r="Q205" s="139">
        <f t="shared" ca="1" si="125"/>
        <v>11827</v>
      </c>
      <c r="R205" s="139">
        <f t="shared" ca="1" si="125"/>
        <v>11925</v>
      </c>
      <c r="S205" s="139">
        <f t="shared" ca="1" si="125"/>
        <v>12067</v>
      </c>
      <c r="T205" s="139">
        <f t="shared" ca="1" si="125"/>
        <v>12121</v>
      </c>
      <c r="U205" s="139">
        <f t="shared" ca="1" si="125"/>
        <v>12093</v>
      </c>
      <c r="V205" s="139">
        <f t="shared" ca="1" si="125"/>
        <v>12448</v>
      </c>
      <c r="W205" s="139">
        <f t="shared" ca="1" si="125"/>
        <v>12569</v>
      </c>
      <c r="X205" s="139">
        <f t="shared" ca="1" si="125"/>
        <v>12817</v>
      </c>
      <c r="Y205" s="139">
        <f t="shared" ca="1" si="125"/>
        <v>12961</v>
      </c>
      <c r="Z205" s="139">
        <f t="shared" ca="1" si="125"/>
        <v>13131</v>
      </c>
      <c r="AA205" s="139">
        <f t="shared" ca="1" si="125"/>
        <v>13314</v>
      </c>
      <c r="AB205" s="139">
        <f t="shared" ca="1" si="125"/>
        <v>13403</v>
      </c>
      <c r="AC205" s="139">
        <f t="shared" ca="1" si="125"/>
        <v>13546</v>
      </c>
      <c r="AD205" s="139">
        <f t="shared" ca="1" si="125"/>
        <v>13712</v>
      </c>
      <c r="AE205" s="139">
        <f t="shared" ca="1" si="125"/>
        <v>14045</v>
      </c>
      <c r="AF205" s="139">
        <f t="shared" ca="1" si="125"/>
        <v>13983</v>
      </c>
      <c r="AG205" s="139">
        <f t="shared" ca="1" si="125"/>
        <v>14293</v>
      </c>
      <c r="AH205" s="139">
        <f t="shared" ref="AH205:BI205" ca="1" si="126">AH69</f>
        <v>14262</v>
      </c>
      <c r="AI205" s="139">
        <f t="shared" ca="1" si="126"/>
        <v>14665</v>
      </c>
      <c r="AJ205" s="139">
        <f t="shared" ca="1" si="126"/>
        <v>14721</v>
      </c>
      <c r="AK205" s="139">
        <f t="shared" ca="1" si="126"/>
        <v>15266</v>
      </c>
      <c r="AL205" s="139">
        <f t="shared" ca="1" si="126"/>
        <v>15192</v>
      </c>
      <c r="AM205" s="139">
        <f t="shared" ca="1" si="126"/>
        <v>15239</v>
      </c>
      <c r="AN205" s="139">
        <f t="shared" ca="1" si="126"/>
        <v>15485</v>
      </c>
      <c r="AO205" s="139">
        <f t="shared" ca="1" si="126"/>
        <v>15520</v>
      </c>
      <c r="AP205" s="139">
        <f t="shared" ca="1" si="126"/>
        <v>15969</v>
      </c>
      <c r="AQ205" s="139">
        <f t="shared" ca="1" si="126"/>
        <v>16398</v>
      </c>
      <c r="AR205" s="139">
        <f t="shared" ca="1" si="126"/>
        <v>16506</v>
      </c>
      <c r="AS205" s="139">
        <f t="shared" ca="1" si="126"/>
        <v>16717</v>
      </c>
      <c r="AT205" s="139">
        <f t="shared" ca="1" si="126"/>
        <v>17260</v>
      </c>
      <c r="AU205" s="139">
        <f t="shared" ca="1" si="126"/>
        <v>17201</v>
      </c>
      <c r="AV205" s="139">
        <f t="shared" ca="1" si="126"/>
        <v>17438</v>
      </c>
      <c r="AW205" s="139">
        <f t="shared" ca="1" si="126"/>
        <v>17563</v>
      </c>
      <c r="AX205" s="139">
        <f t="shared" ca="1" si="126"/>
        <v>17840</v>
      </c>
      <c r="AY205" s="139">
        <f t="shared" ca="1" si="126"/>
        <v>18283</v>
      </c>
      <c r="AZ205" s="139">
        <f t="shared" ca="1" si="126"/>
        <v>18429</v>
      </c>
      <c r="BA205" s="139">
        <f t="shared" ca="1" si="126"/>
        <v>18835</v>
      </c>
      <c r="BB205" s="139">
        <f t="shared" ca="1" si="126"/>
        <v>18889</v>
      </c>
      <c r="BC205" s="139">
        <f t="shared" ca="1" si="126"/>
        <v>19246</v>
      </c>
      <c r="BD205" s="139">
        <f t="shared" ca="1" si="126"/>
        <v>19599</v>
      </c>
      <c r="BE205" s="139">
        <f t="shared" ca="1" si="126"/>
        <v>19607</v>
      </c>
      <c r="BF205" s="139">
        <f t="shared" ca="1" si="126"/>
        <v>20151</v>
      </c>
      <c r="BG205" s="139">
        <f t="shared" ca="1" si="126"/>
        <v>20477</v>
      </c>
      <c r="BH205" s="139">
        <f t="shared" ca="1" si="126"/>
        <v>20959</v>
      </c>
      <c r="BI205" s="139">
        <f t="shared" ca="1" si="126"/>
        <v>21135</v>
      </c>
      <c r="BJ205" s="152" t="str">
        <f t="shared" si="113"/>
        <v xml:space="preserve">    Sales &amp; Marketing</v>
      </c>
      <c r="BK205" s="139">
        <f t="shared" ca="1" si="118"/>
        <v>126699</v>
      </c>
      <c r="BL205" s="139">
        <f t="shared" ca="1" si="119"/>
        <v>145321</v>
      </c>
      <c r="BM205" s="139">
        <f t="shared" ca="1" si="120"/>
        <v>168341</v>
      </c>
      <c r="BN205" s="139">
        <f t="shared" ca="1" si="121"/>
        <v>196488</v>
      </c>
      <c r="BO205" s="139">
        <f t="shared" ca="1" si="122"/>
        <v>233450</v>
      </c>
    </row>
    <row r="206" spans="1:67" ht="13.4" customHeight="1">
      <c r="A206" s="150" t="s">
        <v>272</v>
      </c>
      <c r="B206" s="139">
        <f t="shared" ref="B206:AG206" ca="1" si="127">B72</f>
        <v>18208.56310960816</v>
      </c>
      <c r="C206" s="139">
        <f t="shared" ca="1" si="127"/>
        <v>35186.455431102091</v>
      </c>
      <c r="D206" s="139">
        <f t="shared" ca="1" si="127"/>
        <v>68713.249031233659</v>
      </c>
      <c r="E206" s="139">
        <f t="shared" ca="1" si="127"/>
        <v>48243.962193564068</v>
      </c>
      <c r="F206" s="139">
        <f t="shared" ca="1" si="127"/>
        <v>64751.693398876931</v>
      </c>
      <c r="G206" s="139">
        <f t="shared" ca="1" si="127"/>
        <v>110979.11050954797</v>
      </c>
      <c r="H206" s="139">
        <f t="shared" ca="1" si="127"/>
        <v>106888.81485457477</v>
      </c>
      <c r="I206" s="139">
        <f t="shared" ca="1" si="127"/>
        <v>149415.15285152098</v>
      </c>
      <c r="J206" s="139">
        <f t="shared" ca="1" si="127"/>
        <v>188683.22799725083</v>
      </c>
      <c r="K206" s="139">
        <f t="shared" ca="1" si="127"/>
        <v>187162.65766750815</v>
      </c>
      <c r="L206" s="139">
        <f t="shared" ca="1" si="127"/>
        <v>218923.11225231705</v>
      </c>
      <c r="M206" s="139">
        <f t="shared" ca="1" si="127"/>
        <v>140180.83670834696</v>
      </c>
      <c r="N206" s="139">
        <f t="shared" ca="1" si="127"/>
        <v>295442.1567144997</v>
      </c>
      <c r="O206" s="139">
        <f t="shared" ca="1" si="127"/>
        <v>292651.33312614664</v>
      </c>
      <c r="P206" s="139">
        <f t="shared" ca="1" si="127"/>
        <v>361184.46359708346</v>
      </c>
      <c r="Q206" s="139">
        <f t="shared" ca="1" si="127"/>
        <v>311922.91192094696</v>
      </c>
      <c r="R206" s="139">
        <f t="shared" ca="1" si="127"/>
        <v>354030.53823845083</v>
      </c>
      <c r="S206" s="139">
        <f t="shared" ca="1" si="127"/>
        <v>291952.80365793937</v>
      </c>
      <c r="T206" s="139">
        <f t="shared" ca="1" si="127"/>
        <v>305141.72557190736</v>
      </c>
      <c r="U206" s="139">
        <f t="shared" ca="1" si="127"/>
        <v>285833.57439790032</v>
      </c>
      <c r="V206" s="139">
        <f t="shared" ca="1" si="127"/>
        <v>463467.29427371267</v>
      </c>
      <c r="W206" s="139">
        <f t="shared" ca="1" si="127"/>
        <v>520310.83911534655</v>
      </c>
      <c r="X206" s="139">
        <f t="shared" ca="1" si="127"/>
        <v>487261.31118234387</v>
      </c>
      <c r="Y206" s="139">
        <f t="shared" ca="1" si="127"/>
        <v>348831.17175100092</v>
      </c>
      <c r="Z206" s="139">
        <f t="shared" ca="1" si="127"/>
        <v>689308.66662446933</v>
      </c>
      <c r="AA206" s="139">
        <f t="shared" ca="1" si="127"/>
        <v>538354.65739884018</v>
      </c>
      <c r="AB206" s="139">
        <f t="shared" ca="1" si="127"/>
        <v>484736.12316927931</v>
      </c>
      <c r="AC206" s="139">
        <f t="shared" ca="1" si="127"/>
        <v>744909.45688335353</v>
      </c>
      <c r="AD206" s="139">
        <f t="shared" ca="1" si="127"/>
        <v>468151.47310063097</v>
      </c>
      <c r="AE206" s="139">
        <f t="shared" ca="1" si="127"/>
        <v>817284.77561474824</v>
      </c>
      <c r="AF206" s="139">
        <f t="shared" ca="1" si="127"/>
        <v>531354.52396808739</v>
      </c>
      <c r="AG206" s="139">
        <f t="shared" ca="1" si="127"/>
        <v>357301.43696628371</v>
      </c>
      <c r="AH206" s="139">
        <f t="shared" ref="AH206:BI206" ca="1" si="128">AH72</f>
        <v>420778.07218796428</v>
      </c>
      <c r="AI206" s="139">
        <f t="shared" ca="1" si="128"/>
        <v>602537.59793201776</v>
      </c>
      <c r="AJ206" s="139">
        <f t="shared" ca="1" si="128"/>
        <v>1267901.601224981</v>
      </c>
      <c r="AK206" s="139">
        <f t="shared" ca="1" si="128"/>
        <v>658304.61963055935</v>
      </c>
      <c r="AL206" s="139">
        <f t="shared" ca="1" si="128"/>
        <v>1028460.1219654749</v>
      </c>
      <c r="AM206" s="139">
        <f t="shared" ca="1" si="128"/>
        <v>1118478.6508164699</v>
      </c>
      <c r="AN206" s="139">
        <f t="shared" ca="1" si="128"/>
        <v>889877.51334864146</v>
      </c>
      <c r="AO206" s="139">
        <f t="shared" ca="1" si="128"/>
        <v>427019.71105757199</v>
      </c>
      <c r="AP206" s="139">
        <f t="shared" ca="1" si="128"/>
        <v>528577.54110959452</v>
      </c>
      <c r="AQ206" s="139">
        <f t="shared" ca="1" si="128"/>
        <v>786250.77576071047</v>
      </c>
      <c r="AR206" s="139">
        <f t="shared" ca="1" si="128"/>
        <v>491034.44390497706</v>
      </c>
      <c r="AS206" s="139">
        <f t="shared" ca="1" si="128"/>
        <v>1110429.2511727808</v>
      </c>
      <c r="AT206" s="139">
        <f t="shared" ca="1" si="128"/>
        <v>1141860.2453849977</v>
      </c>
      <c r="AU206" s="139">
        <f t="shared" ca="1" si="128"/>
        <v>1033177.4495193368</v>
      </c>
      <c r="AV206" s="139">
        <f t="shared" ca="1" si="128"/>
        <v>1132633.6829047098</v>
      </c>
      <c r="AW206" s="139">
        <f t="shared" ca="1" si="128"/>
        <v>1251826.2834220629</v>
      </c>
      <c r="AX206" s="139">
        <f t="shared" ca="1" si="128"/>
        <v>1121224.4572436723</v>
      </c>
      <c r="AY206" s="139">
        <f t="shared" ca="1" si="128"/>
        <v>894214.33745235507</v>
      </c>
      <c r="AZ206" s="139">
        <f t="shared" ca="1" si="128"/>
        <v>1261257.97716041</v>
      </c>
      <c r="BA206" s="139">
        <f t="shared" ca="1" si="128"/>
        <v>810899.72623663303</v>
      </c>
      <c r="BB206" s="139">
        <f t="shared" ca="1" si="128"/>
        <v>1110836.1828860373</v>
      </c>
      <c r="BC206" s="139">
        <f t="shared" ca="1" si="128"/>
        <v>1605481.6570826834</v>
      </c>
      <c r="BD206" s="139">
        <f t="shared" ca="1" si="128"/>
        <v>1606589.4416481974</v>
      </c>
      <c r="BE206" s="139">
        <f t="shared" ca="1" si="128"/>
        <v>2136180.7492970848</v>
      </c>
      <c r="BF206" s="139">
        <f t="shared" ca="1" si="128"/>
        <v>2132190.8376086652</v>
      </c>
      <c r="BG206" s="139">
        <f t="shared" ca="1" si="128"/>
        <v>1923400.5941693825</v>
      </c>
      <c r="BH206" s="139">
        <f t="shared" ca="1" si="128"/>
        <v>1124211.7385854686</v>
      </c>
      <c r="BI206" s="139">
        <f t="shared" ca="1" si="128"/>
        <v>1917206.228289732</v>
      </c>
      <c r="BJ206" s="153" t="str">
        <f t="shared" si="113"/>
        <v xml:space="preserve">    Technology and Infrastructure</v>
      </c>
      <c r="BK206" s="139">
        <f t="shared" ca="1" si="118"/>
        <v>1337336.8360054516</v>
      </c>
      <c r="BL206" s="139">
        <f t="shared" ca="1" si="119"/>
        <v>4318030.1235472783</v>
      </c>
      <c r="BM206" s="139">
        <f t="shared" ca="1" si="120"/>
        <v>7580923.0047012139</v>
      </c>
      <c r="BN206" s="139">
        <f t="shared" ca="1" si="121"/>
        <v>10939625.670367327</v>
      </c>
      <c r="BO206" s="139">
        <f t="shared" ca="1" si="122"/>
        <v>17643693.92766032</v>
      </c>
    </row>
    <row r="207" spans="1:67" ht="13.4" customHeight="1">
      <c r="A207" s="150" t="s">
        <v>273</v>
      </c>
      <c r="B207" s="139">
        <f t="shared" ref="B207:AG207" ca="1" si="129">B73</f>
        <v>1820.8563109608158</v>
      </c>
      <c r="C207" s="139">
        <f t="shared" ca="1" si="129"/>
        <v>3518.645543110209</v>
      </c>
      <c r="D207" s="139">
        <f t="shared" ca="1" si="129"/>
        <v>6871.3249031233663</v>
      </c>
      <c r="E207" s="139">
        <f t="shared" ca="1" si="129"/>
        <v>4824.3962193564066</v>
      </c>
      <c r="F207" s="139">
        <f t="shared" ca="1" si="129"/>
        <v>6475.1693398876932</v>
      </c>
      <c r="G207" s="139">
        <f t="shared" ca="1" si="129"/>
        <v>11097.911050954797</v>
      </c>
      <c r="H207" s="139">
        <f t="shared" ca="1" si="129"/>
        <v>10688.881485457476</v>
      </c>
      <c r="I207" s="139">
        <f t="shared" ca="1" si="129"/>
        <v>14941.515285152098</v>
      </c>
      <c r="J207" s="139">
        <f t="shared" ca="1" si="129"/>
        <v>18868.32279972508</v>
      </c>
      <c r="K207" s="139">
        <f t="shared" ca="1" si="129"/>
        <v>18716.265766750814</v>
      </c>
      <c r="L207" s="139">
        <f t="shared" ca="1" si="129"/>
        <v>21892.311225231704</v>
      </c>
      <c r="M207" s="139">
        <f t="shared" ca="1" si="129"/>
        <v>14018.083670834696</v>
      </c>
      <c r="N207" s="139">
        <f t="shared" ca="1" si="129"/>
        <v>29544.215671449969</v>
      </c>
      <c r="O207" s="139">
        <f t="shared" ca="1" si="129"/>
        <v>29265.133312614664</v>
      </c>
      <c r="P207" s="139">
        <f t="shared" ca="1" si="129"/>
        <v>36118.446359708345</v>
      </c>
      <c r="Q207" s="139">
        <f t="shared" ca="1" si="129"/>
        <v>31192.291192094694</v>
      </c>
      <c r="R207" s="139">
        <f t="shared" ca="1" si="129"/>
        <v>35403.053823845083</v>
      </c>
      <c r="S207" s="139">
        <f t="shared" ca="1" si="129"/>
        <v>29195.280365793933</v>
      </c>
      <c r="T207" s="139">
        <f t="shared" ca="1" si="129"/>
        <v>30514.172557190737</v>
      </c>
      <c r="U207" s="139">
        <f t="shared" ca="1" si="129"/>
        <v>28583.357439790034</v>
      </c>
      <c r="V207" s="139">
        <f t="shared" ca="1" si="129"/>
        <v>46346.729427371269</v>
      </c>
      <c r="W207" s="139">
        <f t="shared" ca="1" si="129"/>
        <v>52031.083911534653</v>
      </c>
      <c r="X207" s="139">
        <f t="shared" ca="1" si="129"/>
        <v>48726.131118234385</v>
      </c>
      <c r="Y207" s="139">
        <f t="shared" ca="1" si="129"/>
        <v>34883.117175100095</v>
      </c>
      <c r="Z207" s="139">
        <f t="shared" ca="1" si="129"/>
        <v>68930.866662446933</v>
      </c>
      <c r="AA207" s="139">
        <f t="shared" ca="1" si="129"/>
        <v>53835.465739884014</v>
      </c>
      <c r="AB207" s="139">
        <f t="shared" ca="1" si="129"/>
        <v>48473.612316927931</v>
      </c>
      <c r="AC207" s="139">
        <f t="shared" ca="1" si="129"/>
        <v>74490.945688335341</v>
      </c>
      <c r="AD207" s="139">
        <f t="shared" ca="1" si="129"/>
        <v>46815.147310063097</v>
      </c>
      <c r="AE207" s="139">
        <f t="shared" ca="1" si="129"/>
        <v>81728.477561474821</v>
      </c>
      <c r="AF207" s="139">
        <f t="shared" ca="1" si="129"/>
        <v>53135.452396808745</v>
      </c>
      <c r="AG207" s="139">
        <f t="shared" ca="1" si="129"/>
        <v>35730.143696628365</v>
      </c>
      <c r="AH207" s="139">
        <f t="shared" ref="AH207:BI207" ca="1" si="130">AH73</f>
        <v>42077.807218796428</v>
      </c>
      <c r="AI207" s="139">
        <f t="shared" ca="1" si="130"/>
        <v>60253.759793201767</v>
      </c>
      <c r="AJ207" s="139">
        <f t="shared" ca="1" si="130"/>
        <v>126790.16012249808</v>
      </c>
      <c r="AK207" s="139">
        <f t="shared" ca="1" si="130"/>
        <v>65830.461963055932</v>
      </c>
      <c r="AL207" s="139">
        <f t="shared" ca="1" si="130"/>
        <v>102846.01219654748</v>
      </c>
      <c r="AM207" s="139">
        <f t="shared" ca="1" si="130"/>
        <v>111847.86508164699</v>
      </c>
      <c r="AN207" s="139">
        <f t="shared" ca="1" si="130"/>
        <v>88987.751334864151</v>
      </c>
      <c r="AO207" s="139">
        <f t="shared" ca="1" si="130"/>
        <v>42701.971105757199</v>
      </c>
      <c r="AP207" s="139">
        <f t="shared" ca="1" si="130"/>
        <v>52857.754110959453</v>
      </c>
      <c r="AQ207" s="139">
        <f t="shared" ca="1" si="130"/>
        <v>78625.077576071038</v>
      </c>
      <c r="AR207" s="139">
        <f t="shared" ca="1" si="130"/>
        <v>49103.444390497702</v>
      </c>
      <c r="AS207" s="139">
        <f t="shared" ca="1" si="130"/>
        <v>111042.92511727808</v>
      </c>
      <c r="AT207" s="139">
        <f t="shared" ca="1" si="130"/>
        <v>114186.02453849977</v>
      </c>
      <c r="AU207" s="139">
        <f t="shared" ca="1" si="130"/>
        <v>103317.74495193368</v>
      </c>
      <c r="AV207" s="139">
        <f t="shared" ca="1" si="130"/>
        <v>113263.36829047099</v>
      </c>
      <c r="AW207" s="139">
        <f t="shared" ca="1" si="130"/>
        <v>125182.62834220627</v>
      </c>
      <c r="AX207" s="139">
        <f t="shared" ca="1" si="130"/>
        <v>112122.44572436722</v>
      </c>
      <c r="AY207" s="139">
        <f t="shared" ca="1" si="130"/>
        <v>89421.43374523551</v>
      </c>
      <c r="AZ207" s="139">
        <f t="shared" ca="1" si="130"/>
        <v>126125.79771604099</v>
      </c>
      <c r="BA207" s="139">
        <f t="shared" ca="1" si="130"/>
        <v>81089.9726236633</v>
      </c>
      <c r="BB207" s="139">
        <f t="shared" ca="1" si="130"/>
        <v>111083.61828860373</v>
      </c>
      <c r="BC207" s="139">
        <f t="shared" ca="1" si="130"/>
        <v>160548.16570826832</v>
      </c>
      <c r="BD207" s="139">
        <f t="shared" ca="1" si="130"/>
        <v>160658.94416481972</v>
      </c>
      <c r="BE207" s="139">
        <f t="shared" ca="1" si="130"/>
        <v>213618.07492970847</v>
      </c>
      <c r="BF207" s="139">
        <f t="shared" ca="1" si="130"/>
        <v>213219.08376086652</v>
      </c>
      <c r="BG207" s="139">
        <f t="shared" ca="1" si="130"/>
        <v>192340.05941693825</v>
      </c>
      <c r="BH207" s="139">
        <f t="shared" ca="1" si="130"/>
        <v>112421.17385854686</v>
      </c>
      <c r="BI207" s="139">
        <f t="shared" ca="1" si="130"/>
        <v>191720.6228289732</v>
      </c>
      <c r="BJ207" s="153" t="str">
        <f t="shared" si="113"/>
        <v xml:space="preserve">    Other Operating Expenses</v>
      </c>
      <c r="BK207" s="139">
        <f t="shared" ca="1" si="118"/>
        <v>133733.68360054516</v>
      </c>
      <c r="BL207" s="139">
        <f t="shared" ca="1" si="119"/>
        <v>431803.01235472783</v>
      </c>
      <c r="BM207" s="139">
        <f t="shared" ca="1" si="120"/>
        <v>758092.30047012144</v>
      </c>
      <c r="BN207" s="139">
        <f t="shared" ca="1" si="121"/>
        <v>1093962.5670367328</v>
      </c>
      <c r="BO207" s="139">
        <f t="shared" ca="1" si="122"/>
        <v>1764369.3927660321</v>
      </c>
    </row>
    <row r="208" spans="1:67" ht="13.4" customHeight="1">
      <c r="A208" s="149" t="s">
        <v>274</v>
      </c>
      <c r="B208" s="139">
        <f ca="1">'Projection Model'!B168</f>
        <v>671.44076466680087</v>
      </c>
      <c r="C208" s="139">
        <f ca="1">'Projection Model'!C168</f>
        <v>1286.8630761635857</v>
      </c>
      <c r="D208" s="139">
        <f ca="1">'Projection Model'!D168</f>
        <v>2513.4179605040672</v>
      </c>
      <c r="E208" s="139">
        <f ca="1">'Projection Model'!E168</f>
        <v>1739.1849577980715</v>
      </c>
      <c r="F208" s="139">
        <f ca="1">'Projection Model'!F168</f>
        <v>2360.1814412380727</v>
      </c>
      <c r="G208" s="139">
        <f ca="1">'Projection Model'!G168</f>
        <v>4054.9740690583235</v>
      </c>
      <c r="H208" s="139">
        <f ca="1">'Projection Model'!H168</f>
        <v>3877.2983104942823</v>
      </c>
      <c r="I208" s="139">
        <f ca="1">'Projection Model'!I168</f>
        <v>5448.2828461758336</v>
      </c>
      <c r="J208" s="139">
        <f ca="1">'Projection Model'!J168</f>
        <v>6871.4031566206113</v>
      </c>
      <c r="K208" s="139">
        <f ca="1">'Projection Model'!K168</f>
        <v>6792.7961800233716</v>
      </c>
      <c r="L208" s="139">
        <f ca="1">'Projection Model'!L168</f>
        <v>7965.2174293426779</v>
      </c>
      <c r="M208" s="139">
        <f ca="1">'Projection Model'!M168</f>
        <v>5043.0210541850311</v>
      </c>
      <c r="N208" s="139">
        <f ca="1">'Projection Model'!N168</f>
        <v>10814.585458675288</v>
      </c>
      <c r="O208" s="139">
        <f ca="1">'Projection Model'!O168</f>
        <v>10620.217384097912</v>
      </c>
      <c r="P208" s="139">
        <f ca="1">'Projection Model'!P168</f>
        <v>13150.493466690956</v>
      </c>
      <c r="Q208" s="139">
        <f ca="1">'Projection Model'!Q168</f>
        <v>11293.885634464594</v>
      </c>
      <c r="R208" s="139">
        <f ca="1">'Projection Model'!R168</f>
        <v>12876.03454123864</v>
      </c>
      <c r="S208" s="139">
        <f ca="1">'Projection Model'!S168</f>
        <v>10561.840314724639</v>
      </c>
      <c r="T208" s="139">
        <f ca="1">'Projection Model'!T168</f>
        <v>11084.855369393021</v>
      </c>
      <c r="U208" s="139">
        <f ca="1">'Projection Model'!U168</f>
        <v>10364.566209739345</v>
      </c>
      <c r="V208" s="139">
        <f ca="1">'Projection Model'!V168</f>
        <v>16926.224510964188</v>
      </c>
      <c r="W208" s="139">
        <f ca="1">'Projection Model'!W168</f>
        <v>18918.370819160584</v>
      </c>
      <c r="X208" s="139">
        <f ca="1">'Projection Model'!X168</f>
        <v>17668.150970875198</v>
      </c>
      <c r="Y208" s="139">
        <f ca="1">'Projection Model'!Y168</f>
        <v>12583.359043878909</v>
      </c>
      <c r="Z208" s="139">
        <f ca="1">'Projection Model'!Z168</f>
        <v>25219.015540943343</v>
      </c>
      <c r="AA208" s="139">
        <f ca="1">'Projection Model'!AA168</f>
        <v>19452.370024060252</v>
      </c>
      <c r="AB208" s="139">
        <f ca="1">'Projection Model'!AB168</f>
        <v>17566.628275238683</v>
      </c>
      <c r="AC208" s="139">
        <f ca="1">'Projection Model'!AC168</f>
        <v>27190.357205203094</v>
      </c>
      <c r="AD208" s="139">
        <f ca="1">'Projection Model'!AD168</f>
        <v>16832.4283327431</v>
      </c>
      <c r="AE208" s="139">
        <f ca="1">'Projection Model'!AE168</f>
        <v>29870.879413413677</v>
      </c>
      <c r="AF208" s="139">
        <f ca="1">'Projection Model'!AF168</f>
        <v>19120.568796388619</v>
      </c>
      <c r="AG208" s="139">
        <f ca="1">'Projection Model'!AG168</f>
        <v>12872.76078294028</v>
      </c>
      <c r="AH208" s="139">
        <f ca="1">'Projection Model'!AH168</f>
        <v>15312.373752980959</v>
      </c>
      <c r="AI208" s="139">
        <f ca="1">'Projection Model'!AI168</f>
        <v>21976.066200687754</v>
      </c>
      <c r="AJ208" s="139">
        <f ca="1">'Projection Model'!AJ168</f>
        <v>46405.8087677808</v>
      </c>
      <c r="AK208" s="139">
        <f ca="1">'Projection Model'!AK168</f>
        <v>23539.928829479162</v>
      </c>
      <c r="AL208" s="139">
        <f ca="1">'Projection Model'!AL168</f>
        <v>37551.82935409432</v>
      </c>
      <c r="AM208" s="139">
        <f ca="1">'Projection Model'!AM168</f>
        <v>40649.12600956524</v>
      </c>
      <c r="AN208" s="139">
        <f ca="1">'Projection Model'!AN168</f>
        <v>32170.481477591311</v>
      </c>
      <c r="AO208" s="139">
        <f ca="1">'Projection Model'!AO168</f>
        <v>15236.944339636579</v>
      </c>
      <c r="AP208" s="139">
        <f ca="1">'Projection Model'!AP168</f>
        <v>19250.1079907608</v>
      </c>
      <c r="AQ208" s="139">
        <f ca="1">'Projection Model'!AQ168</f>
        <v>28688.119694634341</v>
      </c>
      <c r="AR208" s="139">
        <f ca="1">'Projection Model'!AR168</f>
        <v>17652.520355504439</v>
      </c>
      <c r="AS208" s="139">
        <f ca="1">'Projection Model'!AS168</f>
        <v>40667.599048442338</v>
      </c>
      <c r="AT208" s="139">
        <f ca="1">'Projection Model'!AT168</f>
        <v>41461.92278116598</v>
      </c>
      <c r="AU208" s="139">
        <f ca="1">'Projection Model'!AU168</f>
        <v>37441.810203170091</v>
      </c>
      <c r="AV208" s="139">
        <f ca="1">'Projection Model'!AV168</f>
        <v>41172.952301808044</v>
      </c>
      <c r="AW208" s="139">
        <f ca="1">'Projection Model'!AW168</f>
        <v>45509.041807275476</v>
      </c>
      <c r="AX208" s="139">
        <f ca="1">'Projection Model'!AX168</f>
        <v>40624.428295052996</v>
      </c>
      <c r="AY208" s="139">
        <f ca="1">'Projection Model'!AY168</f>
        <v>32330.843729442302</v>
      </c>
      <c r="AZ208" s="139">
        <f ca="1">'Projection Model'!AZ168</f>
        <v>45996.939226961222</v>
      </c>
      <c r="BA208" s="139">
        <f ca="1">'Projection Model'!BA168</f>
        <v>29173.416717419383</v>
      </c>
      <c r="BB208" s="139">
        <f ca="1">'Projection Model'!BB168</f>
        <v>40500.193446319587</v>
      </c>
      <c r="BC208" s="139">
        <f ca="1">'Projection Model'!BC168</f>
        <v>58560.688212530702</v>
      </c>
      <c r="BD208" s="139">
        <f ca="1">'Projection Model'!BD168</f>
        <v>58315.484234235344</v>
      </c>
      <c r="BE208" s="139">
        <f ca="1">'Projection Model'!BE168</f>
        <v>77848.164824410444</v>
      </c>
      <c r="BF208" s="139">
        <f ca="1">'Projection Model'!BF168</f>
        <v>77391.582871234103</v>
      </c>
      <c r="BG208" s="139">
        <f ca="1">'Projection Model'!BG168</f>
        <v>69699.802779524238</v>
      </c>
      <c r="BH208" s="139">
        <f ca="1">'Projection Model'!BH168</f>
        <v>40351.568623616455</v>
      </c>
      <c r="BI208" s="147">
        <f ca="1">'Projection Model'!BI168</f>
        <v>70058.147336085633</v>
      </c>
      <c r="BJ208" s="152" t="str">
        <f t="shared" si="113"/>
        <v xml:space="preserve">    Depreciation &amp; Amort.</v>
      </c>
      <c r="BK208" s="139">
        <f t="shared" ca="1" si="118"/>
        <v>48624.081246270733</v>
      </c>
      <c r="BL208" s="139">
        <f t="shared" ca="1" si="119"/>
        <v>156862.58372390328</v>
      </c>
      <c r="BM208" s="139">
        <f t="shared" ca="1" si="120"/>
        <v>275359.18592185975</v>
      </c>
      <c r="BN208" s="139">
        <f t="shared" ca="1" si="121"/>
        <v>397452.455363649</v>
      </c>
      <c r="BO208" s="139">
        <f t="shared" ca="1" si="122"/>
        <v>640851.26029683254</v>
      </c>
    </row>
    <row r="209" spans="1:67" ht="13.4" customHeight="1">
      <c r="A209" s="146" t="s">
        <v>275</v>
      </c>
      <c r="B209" s="139">
        <f t="shared" ref="B209:AG209" ca="1" si="131">SUM(B203:B208)</f>
        <v>40472.141740039864</v>
      </c>
      <c r="C209" s="139">
        <f t="shared" ca="1" si="131"/>
        <v>68157.191765926938</v>
      </c>
      <c r="D209" s="139">
        <f t="shared" ca="1" si="131"/>
        <v>123299.61641047793</v>
      </c>
      <c r="E209" s="139">
        <f t="shared" ca="1" si="131"/>
        <v>89789.524467500582</v>
      </c>
      <c r="F209" s="139">
        <f t="shared" ca="1" si="131"/>
        <v>116996.89087944117</v>
      </c>
      <c r="G209" s="139">
        <f t="shared" ca="1" si="131"/>
        <v>192697.5508843351</v>
      </c>
      <c r="H209" s="139">
        <f t="shared" ca="1" si="131"/>
        <v>186094.40207781392</v>
      </c>
      <c r="I209" s="139">
        <f t="shared" ca="1" si="131"/>
        <v>255902.5274086094</v>
      </c>
      <c r="J209" s="139">
        <f t="shared" ca="1" si="131"/>
        <v>320271.5679522219</v>
      </c>
      <c r="K209" s="139">
        <f t="shared" ca="1" si="131"/>
        <v>318001.04844803637</v>
      </c>
      <c r="L209" s="139">
        <f t="shared" ca="1" si="131"/>
        <v>370089.19703304995</v>
      </c>
      <c r="M209" s="139">
        <f t="shared" ca="1" si="131"/>
        <v>241090.35978754016</v>
      </c>
      <c r="N209" s="139">
        <f t="shared" ca="1" si="131"/>
        <v>495475.03620187478</v>
      </c>
      <c r="O209" s="139">
        <f t="shared" ca="1" si="131"/>
        <v>491030.35038593254</v>
      </c>
      <c r="P209" s="139">
        <f t="shared" ca="1" si="131"/>
        <v>603367.63522202452</v>
      </c>
      <c r="Q209" s="139">
        <f t="shared" ca="1" si="131"/>
        <v>522847.54470797972</v>
      </c>
      <c r="R209" s="139">
        <f t="shared" ca="1" si="131"/>
        <v>591899.89572276</v>
      </c>
      <c r="S209" s="139">
        <f t="shared" ca="1" si="131"/>
        <v>490403.32616742759</v>
      </c>
      <c r="T209" s="139">
        <f t="shared" ca="1" si="131"/>
        <v>512082.61628444481</v>
      </c>
      <c r="U209" s="139">
        <f t="shared" ca="1" si="131"/>
        <v>480441.28524637985</v>
      </c>
      <c r="V209" s="139">
        <f t="shared" ca="1" si="131"/>
        <v>771571.89534890454</v>
      </c>
      <c r="W209" s="139">
        <f t="shared" ca="1" si="131"/>
        <v>864634.71340371505</v>
      </c>
      <c r="X209" s="139">
        <f t="shared" ca="1" si="131"/>
        <v>810753.24886262533</v>
      </c>
      <c r="Y209" s="139">
        <f t="shared" ca="1" si="131"/>
        <v>584324.23384548037</v>
      </c>
      <c r="Z209" s="139">
        <f t="shared" ca="1" si="131"/>
        <v>1141893.8821400942</v>
      </c>
      <c r="AA209" s="139">
        <f t="shared" ca="1" si="131"/>
        <v>894783.82186220458</v>
      </c>
      <c r="AB209" s="139">
        <f t="shared" ca="1" si="131"/>
        <v>807197.42534608557</v>
      </c>
      <c r="AC209" s="139">
        <f t="shared" ca="1" si="131"/>
        <v>1233241.4882185685</v>
      </c>
      <c r="AD209" s="139">
        <f t="shared" ca="1" si="131"/>
        <v>780236.78529375268</v>
      </c>
      <c r="AE209" s="139">
        <f t="shared" ca="1" si="131"/>
        <v>1352221.5203970107</v>
      </c>
      <c r="AF209" s="139">
        <f t="shared" ca="1" si="131"/>
        <v>883920.80714532838</v>
      </c>
      <c r="AG209" s="139">
        <f t="shared" ca="1" si="131"/>
        <v>599498.05992899428</v>
      </c>
      <c r="AH209" s="139">
        <f t="shared" ref="AH209:BM209" ca="1" si="132">SUM(AH203:AH208)</f>
        <v>703469.28925372381</v>
      </c>
      <c r="AI209" s="139">
        <f t="shared" ca="1" si="132"/>
        <v>1001351.2228919162</v>
      </c>
      <c r="AJ209" s="139">
        <f t="shared" ca="1" si="132"/>
        <v>2090419.3707277505</v>
      </c>
      <c r="AK209" s="139">
        <f t="shared" ca="1" si="132"/>
        <v>1092743.3202383742</v>
      </c>
      <c r="AL209" s="139">
        <f t="shared" ca="1" si="132"/>
        <v>1698930.0244988543</v>
      </c>
      <c r="AM209" s="139">
        <f t="shared" ca="1" si="132"/>
        <v>1846103.9673159171</v>
      </c>
      <c r="AN209" s="139">
        <f t="shared" ca="1" si="132"/>
        <v>1472109.5028354176</v>
      </c>
      <c r="AO209" s="139">
        <f t="shared" ca="1" si="132"/>
        <v>714638.48203175177</v>
      </c>
      <c r="AP209" s="139">
        <f t="shared" ca="1" si="132"/>
        <v>881593.17376611207</v>
      </c>
      <c r="AQ209" s="139">
        <f t="shared" ca="1" si="132"/>
        <v>1303737.3609117712</v>
      </c>
      <c r="AR209" s="139">
        <f t="shared" ca="1" si="132"/>
        <v>820463.63060346781</v>
      </c>
      <c r="AS209" s="139">
        <f t="shared" ca="1" si="132"/>
        <v>1834721.4009248915</v>
      </c>
      <c r="AT209" s="139">
        <f t="shared" ca="1" si="132"/>
        <v>1886348.3153971622</v>
      </c>
      <c r="AU209" s="139">
        <f t="shared" ca="1" si="132"/>
        <v>1708376.7294341091</v>
      </c>
      <c r="AV209" s="139">
        <f t="shared" ca="1" si="132"/>
        <v>1871474.8449493435</v>
      </c>
      <c r="AW209" s="139">
        <f t="shared" ca="1" si="132"/>
        <v>2066644.095282576</v>
      </c>
      <c r="AX209" s="139">
        <f t="shared" ca="1" si="132"/>
        <v>1853073.5598849286</v>
      </c>
      <c r="AY209" s="139">
        <f t="shared" ca="1" si="132"/>
        <v>1482006.7836532104</v>
      </c>
      <c r="AZ209" s="139">
        <f t="shared" ca="1" si="132"/>
        <v>2083088.7026836174</v>
      </c>
      <c r="BA209" s="139">
        <f t="shared" ca="1" si="132"/>
        <v>1346097.9786960322</v>
      </c>
      <c r="BB209" s="139">
        <f t="shared" ca="1" si="132"/>
        <v>1837377.0860639792</v>
      </c>
      <c r="BC209" s="139">
        <f t="shared" ca="1" si="132"/>
        <v>2647227.3395448243</v>
      </c>
      <c r="BD209" s="139">
        <f t="shared" ca="1" si="132"/>
        <v>2649107.5908713508</v>
      </c>
      <c r="BE209" s="139">
        <f t="shared" ca="1" si="132"/>
        <v>3515994.3636997463</v>
      </c>
      <c r="BF209" s="139">
        <f t="shared" ca="1" si="132"/>
        <v>3509697.9230450983</v>
      </c>
      <c r="BG209" s="139">
        <f t="shared" ca="1" si="132"/>
        <v>3168267.7534505362</v>
      </c>
      <c r="BH209" s="139">
        <f t="shared" ca="1" si="132"/>
        <v>1860699.3503603663</v>
      </c>
      <c r="BI209" s="147">
        <f t="shared" ca="1" si="132"/>
        <v>3159373.1125996569</v>
      </c>
      <c r="BJ209" s="148" t="str">
        <f t="shared" si="113"/>
        <v>Total Operating Expenses</v>
      </c>
      <c r="BK209" s="139">
        <f t="shared" ca="1" si="118"/>
        <v>2322862.0188549934</v>
      </c>
      <c r="BL209" s="139">
        <f t="shared" ca="1" si="119"/>
        <v>7218831.7813995481</v>
      </c>
      <c r="BM209" s="139">
        <f t="shared" ca="1" si="120"/>
        <v>12580976.993443802</v>
      </c>
      <c r="BN209" s="139">
        <f t="shared" ca="1" si="121"/>
        <v>18105141.527951375</v>
      </c>
      <c r="BO209" s="139">
        <f t="shared" ca="1" si="122"/>
        <v>29112011.544553347</v>
      </c>
    </row>
    <row r="210" spans="1:67" ht="13.4" customHeight="1">
      <c r="A210" s="149"/>
      <c r="B210" s="139"/>
      <c r="C210" s="149"/>
      <c r="D210" s="149"/>
      <c r="E210" s="149"/>
      <c r="F210" s="149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150"/>
      <c r="AJ210" s="150"/>
      <c r="AK210" s="150"/>
      <c r="AL210" s="150"/>
      <c r="AM210" s="150"/>
      <c r="AN210" s="150"/>
      <c r="AO210" s="150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1"/>
      <c r="BJ210" s="152">
        <f t="shared" si="113"/>
        <v>0</v>
      </c>
      <c r="BK210" s="149"/>
      <c r="BL210" s="149"/>
      <c r="BM210" s="149"/>
      <c r="BN210" s="149"/>
      <c r="BO210" s="150"/>
    </row>
    <row r="211" spans="1:67" ht="13.4" customHeight="1">
      <c r="A211" s="146" t="s">
        <v>276</v>
      </c>
      <c r="B211" s="139">
        <f t="shared" ref="B211:AG211" ca="1" si="133">B200-B209</f>
        <v>25517.940404881461</v>
      </c>
      <c r="C211" s="139">
        <f t="shared" ca="1" si="133"/>
        <v>49335.245330213933</v>
      </c>
      <c r="D211" s="139">
        <f t="shared" ca="1" si="133"/>
        <v>132936.01850747652</v>
      </c>
      <c r="E211" s="139">
        <f t="shared" ca="1" si="133"/>
        <v>62538.171028311117</v>
      </c>
      <c r="F211" s="139">
        <f t="shared" ca="1" si="133"/>
        <v>56354.611211418349</v>
      </c>
      <c r="G211" s="139">
        <f t="shared" ca="1" si="133"/>
        <v>200351.02598884885</v>
      </c>
      <c r="H211" s="139">
        <f t="shared" ca="1" si="133"/>
        <v>161391.36319104786</v>
      </c>
      <c r="I211" s="139">
        <f t="shared" ca="1" si="133"/>
        <v>265769.33387875371</v>
      </c>
      <c r="J211" s="139">
        <f t="shared" ca="1" si="133"/>
        <v>372409.80508088489</v>
      </c>
      <c r="K211" s="139">
        <f t="shared" ca="1" si="133"/>
        <v>310664.33397776639</v>
      </c>
      <c r="L211" s="139">
        <f t="shared" ca="1" si="133"/>
        <v>404007.77382748999</v>
      </c>
      <c r="M211" s="139">
        <f t="shared" ca="1" si="133"/>
        <v>191900.95708785253</v>
      </c>
      <c r="N211" s="139">
        <f t="shared" ca="1" si="133"/>
        <v>514007.3813499533</v>
      </c>
      <c r="O211" s="139">
        <f t="shared" ca="1" si="133"/>
        <v>583739.68245517486</v>
      </c>
      <c r="P211" s="139">
        <f t="shared" ca="1" si="133"/>
        <v>648688.50152272056</v>
      </c>
      <c r="Q211" s="139">
        <f t="shared" ca="1" si="133"/>
        <v>433516.47006567643</v>
      </c>
      <c r="R211" s="139">
        <f t="shared" ca="1" si="133"/>
        <v>664442.89270888071</v>
      </c>
      <c r="S211" s="139">
        <f t="shared" ca="1" si="133"/>
        <v>472684.26887613104</v>
      </c>
      <c r="T211" s="139">
        <f t="shared" ca="1" si="133"/>
        <v>522533.0184129792</v>
      </c>
      <c r="U211" s="139">
        <f t="shared" ca="1" si="133"/>
        <v>246387.56890703161</v>
      </c>
      <c r="V211" s="139">
        <f t="shared" ca="1" si="133"/>
        <v>897688.63987382699</v>
      </c>
      <c r="W211" s="139">
        <f t="shared" ca="1" si="133"/>
        <v>1086287.9371606575</v>
      </c>
      <c r="X211" s="139">
        <f t="shared" ca="1" si="133"/>
        <v>671942.20529733668</v>
      </c>
      <c r="Y211" s="139">
        <f t="shared" ca="1" si="133"/>
        <v>392609.05427427113</v>
      </c>
      <c r="Z211" s="139">
        <f t="shared" ca="1" si="133"/>
        <v>1385934.6157041204</v>
      </c>
      <c r="AA211" s="139">
        <f t="shared" ca="1" si="133"/>
        <v>859260.42554726114</v>
      </c>
      <c r="AB211" s="139">
        <f t="shared" ca="1" si="133"/>
        <v>958185.99516540417</v>
      </c>
      <c r="AC211" s="139">
        <f t="shared" ca="1" si="133"/>
        <v>1135697.6956334065</v>
      </c>
      <c r="AD211" s="139">
        <f t="shared" ca="1" si="133"/>
        <v>427717.33545084356</v>
      </c>
      <c r="AE211" s="139">
        <f t="shared" ca="1" si="133"/>
        <v>1156258.631211258</v>
      </c>
      <c r="AF211" s="139">
        <f t="shared" ca="1" si="133"/>
        <v>813220.83685723774</v>
      </c>
      <c r="AG211" s="139">
        <f t="shared" ca="1" si="133"/>
        <v>422087.92532616376</v>
      </c>
      <c r="AH211" s="139">
        <f t="shared" ref="AH211:BI211" ca="1" si="134">AH200-AH209</f>
        <v>490746.4738995675</v>
      </c>
      <c r="AI211" s="139">
        <f t="shared" ca="1" si="134"/>
        <v>981046.2321263015</v>
      </c>
      <c r="AJ211" s="139">
        <f t="shared" ca="1" si="134"/>
        <v>2667577.5004499825</v>
      </c>
      <c r="AK211" s="139">
        <f t="shared" ca="1" si="134"/>
        <v>1175641.1430680454</v>
      </c>
      <c r="AL211" s="139">
        <f t="shared" ca="1" si="134"/>
        <v>1582803.2004665392</v>
      </c>
      <c r="AM211" s="139">
        <f t="shared" ca="1" si="134"/>
        <v>1796179.9361932676</v>
      </c>
      <c r="AN211" s="139">
        <f t="shared" ca="1" si="134"/>
        <v>839057.78428461542</v>
      </c>
      <c r="AO211" s="139">
        <f t="shared" ca="1" si="134"/>
        <v>-331518.67124954925</v>
      </c>
      <c r="AP211" s="139">
        <f t="shared" ca="1" si="134"/>
        <v>686909.04970133759</v>
      </c>
      <c r="AQ211" s="139">
        <f t="shared" ca="1" si="134"/>
        <v>1327140.853665967</v>
      </c>
      <c r="AR211" s="139">
        <f t="shared" ca="1" si="134"/>
        <v>-87877.352669600165</v>
      </c>
      <c r="AS211" s="139">
        <f t="shared" ca="1" si="134"/>
        <v>2059128.4824826566</v>
      </c>
      <c r="AT211" s="139">
        <f t="shared" ca="1" si="134"/>
        <v>2155196.3401989304</v>
      </c>
      <c r="AU211" s="139">
        <f t="shared" ca="1" si="134"/>
        <v>1562224.8311969789</v>
      </c>
      <c r="AV211" s="139">
        <f t="shared" ca="1" si="134"/>
        <v>1333430.1412194155</v>
      </c>
      <c r="AW211" s="139">
        <f t="shared" ca="1" si="134"/>
        <v>2746608.5230335118</v>
      </c>
      <c r="AX211" s="139">
        <f t="shared" ca="1" si="134"/>
        <v>1815685.4113665386</v>
      </c>
      <c r="AY211" s="139">
        <f t="shared" ca="1" si="134"/>
        <v>844022.93909436883</v>
      </c>
      <c r="AZ211" s="139">
        <f t="shared" ca="1" si="134"/>
        <v>2005884.9755129153</v>
      </c>
      <c r="BA211" s="139">
        <f t="shared" ca="1" si="134"/>
        <v>500722.10810562619</v>
      </c>
      <c r="BB211" s="139">
        <f t="shared" ca="1" si="134"/>
        <v>1696618.0192563441</v>
      </c>
      <c r="BC211" s="139">
        <f t="shared" ca="1" si="134"/>
        <v>3158390.3120979564</v>
      </c>
      <c r="BD211" s="139">
        <f t="shared" ca="1" si="134"/>
        <v>2384349.9686654508</v>
      </c>
      <c r="BE211" s="139">
        <f t="shared" ca="1" si="134"/>
        <v>3881309.6923696948</v>
      </c>
      <c r="BF211" s="139">
        <f t="shared" ca="1" si="134"/>
        <v>3704572.5155765009</v>
      </c>
      <c r="BG211" s="139">
        <f t="shared" ca="1" si="134"/>
        <v>3479323.1588321971</v>
      </c>
      <c r="BH211" s="139">
        <f t="shared" ca="1" si="134"/>
        <v>1609807.6719406482</v>
      </c>
      <c r="BI211" s="147">
        <f t="shared" ca="1" si="134"/>
        <v>3055562.9610753236</v>
      </c>
      <c r="BJ211" s="148" t="str">
        <f t="shared" si="113"/>
        <v>Earnings Before Interest and Tax(EBIT)</v>
      </c>
      <c r="BK211" s="139">
        <f ca="1">SUMIFS($B211:$BI211,$B$4:$BI$4,"&lt;=12")</f>
        <v>2233176.5795149454</v>
      </c>
      <c r="BL211" s="139">
        <f ca="1">SUMIFS($B211:$BI211,$B$4:$BI$4,"&lt;=24",$B$4:$BI$4,"&gt;12")</f>
        <v>7134527.6209046412</v>
      </c>
      <c r="BM211" s="139">
        <f ca="1">SUMIFS($B211:$BI211,$B$4:$BI$4,"&lt;=36",$B$4:$BI$4,"&gt;24")</f>
        <v>12473374.810439594</v>
      </c>
      <c r="BN211" s="139">
        <f ca="1">SUMIFS($B211:$BI211,$B$4:$BI$4,"&lt;=48",$B$4:$BI$4,"&gt;36")</f>
        <v>15669283.118524071</v>
      </c>
      <c r="BO211" s="139">
        <f ca="1">SUMIFS($B211:$BI211,$B$4:$BI$4,"&lt;=60",$B$4:$BI$4,"&gt;48")</f>
        <v>28136249.733893562</v>
      </c>
    </row>
    <row r="212" spans="1:67" ht="13.4" customHeight="1">
      <c r="A212" s="149"/>
      <c r="B212" s="139"/>
      <c r="C212" s="149"/>
      <c r="D212" s="150"/>
      <c r="E212" s="149"/>
      <c r="F212" s="149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150"/>
      <c r="AJ212" s="150"/>
      <c r="AK212" s="150"/>
      <c r="AL212" s="150"/>
      <c r="AM212" s="150"/>
      <c r="AN212" s="150"/>
      <c r="AO212" s="150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1"/>
      <c r="BJ212" s="152">
        <f t="shared" si="113"/>
        <v>0</v>
      </c>
      <c r="BK212" s="149"/>
      <c r="BL212" s="150"/>
      <c r="BM212" s="149"/>
      <c r="BN212" s="149"/>
      <c r="BO212" s="150"/>
    </row>
    <row r="213" spans="1:67" ht="13.4" customHeight="1">
      <c r="A213" s="154" t="s">
        <v>277</v>
      </c>
      <c r="B213" s="139"/>
      <c r="C213" s="149"/>
      <c r="D213" s="155"/>
      <c r="E213" s="149"/>
      <c r="F213" s="149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150"/>
      <c r="AJ213" s="150"/>
      <c r="AK213" s="150"/>
      <c r="AL213" s="150"/>
      <c r="AM213" s="150"/>
      <c r="AN213" s="150"/>
      <c r="AO213" s="150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1"/>
      <c r="BJ213" s="156" t="str">
        <f t="shared" si="113"/>
        <v>Other Income and Expenses</v>
      </c>
      <c r="BK213" s="149"/>
      <c r="BL213" s="155"/>
      <c r="BM213" s="149"/>
      <c r="BN213" s="149"/>
      <c r="BO213" s="150"/>
    </row>
    <row r="214" spans="1:67" ht="13.4" customHeight="1">
      <c r="A214" s="149" t="s">
        <v>278</v>
      </c>
      <c r="B214" s="139">
        <f>'Projection Model'!B175</f>
        <v>16666.666666666668</v>
      </c>
      <c r="C214" s="139">
        <f>'Projection Model'!C175</f>
        <v>16576.388888888887</v>
      </c>
      <c r="D214" s="139">
        <f>'Projection Model'!D175</f>
        <v>16486.600115740737</v>
      </c>
      <c r="E214" s="139">
        <f>'Projection Model'!E175</f>
        <v>16397.297698447142</v>
      </c>
      <c r="F214" s="139">
        <f>'Projection Model'!F175</f>
        <v>16308.479002580556</v>
      </c>
      <c r="G214" s="139">
        <f>'Projection Model'!G175</f>
        <v>16220.141407983245</v>
      </c>
      <c r="H214" s="139">
        <f>'Projection Model'!H175</f>
        <v>16132.282308690003</v>
      </c>
      <c r="I214" s="139">
        <f>'Projection Model'!I175</f>
        <v>16044.899112851266</v>
      </c>
      <c r="J214" s="139">
        <f>'Projection Model'!J175</f>
        <v>15957.989242656655</v>
      </c>
      <c r="K214" s="139">
        <f>'Projection Model'!K175</f>
        <v>15871.550134258929</v>
      </c>
      <c r="L214" s="139">
        <f>'Projection Model'!L175</f>
        <v>15785.579237698357</v>
      </c>
      <c r="M214" s="139">
        <f>'Projection Model'!M175</f>
        <v>15700.074016827492</v>
      </c>
      <c r="N214" s="139">
        <f>'Projection Model'!N175</f>
        <v>15615.031949236345</v>
      </c>
      <c r="O214" s="139">
        <f>'Projection Model'!O175</f>
        <v>15530.45052617798</v>
      </c>
      <c r="P214" s="139">
        <f>'Projection Model'!P175</f>
        <v>15446.327252494517</v>
      </c>
      <c r="Q214" s="139">
        <f>'Projection Model'!Q175</f>
        <v>15362.659646543505</v>
      </c>
      <c r="R214" s="139">
        <f>'Projection Model'!R175</f>
        <v>15279.445240124725</v>
      </c>
      <c r="S214" s="139">
        <f>'Projection Model'!S175</f>
        <v>15196.681578407384</v>
      </c>
      <c r="T214" s="139">
        <f>'Projection Model'!T175</f>
        <v>15114.366219857677</v>
      </c>
      <c r="U214" s="139">
        <f>'Projection Model'!U175</f>
        <v>15032.496736166782</v>
      </c>
      <c r="V214" s="139">
        <f>'Projection Model'!V175</f>
        <v>14951.070712179213</v>
      </c>
      <c r="W214" s="139">
        <f>'Projection Model'!W175</f>
        <v>14870.085745821574</v>
      </c>
      <c r="X214" s="139">
        <f>'Projection Model'!X175</f>
        <v>14789.539448031706</v>
      </c>
      <c r="Y214" s="139">
        <f>'Projection Model'!Y175</f>
        <v>14709.429442688202</v>
      </c>
      <c r="Z214" s="139">
        <f>'Projection Model'!Z175</f>
        <v>14629.753366540308</v>
      </c>
      <c r="AA214" s="139">
        <f>'Projection Model'!AA175</f>
        <v>14550.508869138215</v>
      </c>
      <c r="AB214" s="139">
        <f>'Projection Model'!AB175</f>
        <v>14471.693612763715</v>
      </c>
      <c r="AC214" s="139">
        <f>'Projection Model'!AC175</f>
        <v>14393.305272361245</v>
      </c>
      <c r="AD214" s="139">
        <f>'Projection Model'!AD175</f>
        <v>14315.341535469288</v>
      </c>
      <c r="AE214" s="139">
        <f>'Projection Model'!AE175</f>
        <v>14237.800102152165</v>
      </c>
      <c r="AF214" s="139">
        <f>'Projection Model'!AF175</f>
        <v>14160.678684932171</v>
      </c>
      <c r="AG214" s="139">
        <f>'Projection Model'!AG175</f>
        <v>14083.97500872212</v>
      </c>
      <c r="AH214" s="139">
        <f>'Projection Model'!AH175</f>
        <v>14007.686810758209</v>
      </c>
      <c r="AI214" s="139">
        <f>'Projection Model'!AI175</f>
        <v>13931.811840533268</v>
      </c>
      <c r="AJ214" s="139">
        <f>'Projection Model'!AJ175</f>
        <v>13856.347859730378</v>
      </c>
      <c r="AK214" s="139">
        <f>'Projection Model'!AK175</f>
        <v>13781.292642156837</v>
      </c>
      <c r="AL214" s="139">
        <f>'Projection Model'!AL175</f>
        <v>13706.643973678489</v>
      </c>
      <c r="AM214" s="139">
        <f>'Projection Model'!AM175</f>
        <v>13632.399652154396</v>
      </c>
      <c r="AN214" s="139">
        <f>'Projection Model'!AN175</f>
        <v>13558.557487371892</v>
      </c>
      <c r="AO214" s="139">
        <f>'Projection Model'!AO175</f>
        <v>13485.115300981963</v>
      </c>
      <c r="AP214" s="139">
        <f>'Projection Model'!AP175</f>
        <v>13412.070926434977</v>
      </c>
      <c r="AQ214" s="139">
        <f>'Projection Model'!AQ175</f>
        <v>13339.422208916789</v>
      </c>
      <c r="AR214" s="139">
        <f>'Projection Model'!AR175</f>
        <v>13267.167005285155</v>
      </c>
      <c r="AS214" s="139">
        <f>'Projection Model'!AS175</f>
        <v>13195.303184006525</v>
      </c>
      <c r="AT214" s="139">
        <f>'Projection Model'!AT175</f>
        <v>13123.828625093156</v>
      </c>
      <c r="AU214" s="139">
        <f>'Projection Model'!AU175</f>
        <v>13052.741220040569</v>
      </c>
      <c r="AV214" s="139">
        <f>'Projection Model'!AV175</f>
        <v>12982.03887176535</v>
      </c>
      <c r="AW214" s="139">
        <f>'Projection Model'!AW175</f>
        <v>12911.719494543286</v>
      </c>
      <c r="AX214" s="139">
        <f>'Projection Model'!AX175</f>
        <v>12841.781013947842</v>
      </c>
      <c r="AY214" s="139">
        <f>'Projection Model'!AY175</f>
        <v>12772.221366788959</v>
      </c>
      <c r="AZ214" s="139">
        <f>'Projection Model'!AZ175</f>
        <v>12703.038501052186</v>
      </c>
      <c r="BA214" s="139">
        <f>'Projection Model'!BA175</f>
        <v>12634.230375838153</v>
      </c>
      <c r="BB214" s="139">
        <f>'Projection Model'!BB175</f>
        <v>12565.794961302363</v>
      </c>
      <c r="BC214" s="139">
        <f>'Projection Model'!BC175</f>
        <v>12497.73023859531</v>
      </c>
      <c r="BD214" s="139">
        <f>'Projection Model'!BD175</f>
        <v>12430.034199802918</v>
      </c>
      <c r="BE214" s="139">
        <f>'Projection Model'!BE175</f>
        <v>12362.704847887318</v>
      </c>
      <c r="BF214" s="139">
        <f>'Projection Model'!BF175</f>
        <v>12295.740196627929</v>
      </c>
      <c r="BG214" s="139">
        <f>'Projection Model'!BG175</f>
        <v>12229.13827056286</v>
      </c>
      <c r="BH214" s="139">
        <f>'Projection Model'!BH175</f>
        <v>12162.897104930644</v>
      </c>
      <c r="BI214" s="147">
        <f>'Projection Model'!BI175</f>
        <v>12097.01474561227</v>
      </c>
      <c r="BJ214" s="152" t="str">
        <f t="shared" si="113"/>
        <v xml:space="preserve">     Interest expense</v>
      </c>
      <c r="BK214" s="139">
        <f>SUMIFS($B214:$BI214,$B$4:$BI$4,"&lt;=12")</f>
        <v>194147.94783328992</v>
      </c>
      <c r="BL214" s="139">
        <f>SUMIFS($B214:$BI214,$B$4:$BI$4,"&lt;=24",$B$4:$BI$4,"&gt;12")</f>
        <v>181897.58449772964</v>
      </c>
      <c r="BM214" s="139">
        <f>SUMIFS($B214:$BI214,$B$4:$BI$4,"&lt;=36",$B$4:$BI$4,"&gt;24")</f>
        <v>170420.1956052579</v>
      </c>
      <c r="BN214" s="139">
        <f>SUMIFS($B214:$BI214,$B$4:$BI$4,"&lt;=48",$B$4:$BI$4,"&gt;36")</f>
        <v>159667.00795027253</v>
      </c>
      <c r="BO214" s="139">
        <f>SUMIFS($B214:$BI214,$B$4:$BI$4,"&lt;=60",$B$4:$BI$4,"&gt;48")</f>
        <v>149592.32582294877</v>
      </c>
    </row>
    <row r="215" spans="1:67" ht="13.4" customHeight="1">
      <c r="A215" s="149" t="s">
        <v>279</v>
      </c>
      <c r="B215" s="139">
        <v>0</v>
      </c>
      <c r="C215" s="139">
        <v>0</v>
      </c>
      <c r="D215" s="139">
        <v>0</v>
      </c>
      <c r="E215" s="139">
        <v>0</v>
      </c>
      <c r="F215" s="139">
        <v>0</v>
      </c>
      <c r="G215" s="139">
        <v>0</v>
      </c>
      <c r="H215" s="139">
        <v>0</v>
      </c>
      <c r="I215" s="139">
        <v>0</v>
      </c>
      <c r="J215" s="139">
        <v>0</v>
      </c>
      <c r="K215" s="139">
        <v>0</v>
      </c>
      <c r="L215" s="139">
        <v>0</v>
      </c>
      <c r="M215" s="139">
        <v>0</v>
      </c>
      <c r="N215" s="139">
        <v>0</v>
      </c>
      <c r="O215" s="139">
        <v>0</v>
      </c>
      <c r="P215" s="139">
        <v>0</v>
      </c>
      <c r="Q215" s="139">
        <v>0</v>
      </c>
      <c r="R215" s="139">
        <v>0</v>
      </c>
      <c r="S215" s="139">
        <v>0</v>
      </c>
      <c r="T215" s="139">
        <v>0</v>
      </c>
      <c r="U215" s="139">
        <v>0</v>
      </c>
      <c r="V215" s="139">
        <v>0</v>
      </c>
      <c r="W215" s="139">
        <v>0</v>
      </c>
      <c r="X215" s="139">
        <v>0</v>
      </c>
      <c r="Y215" s="139">
        <v>0</v>
      </c>
      <c r="Z215" s="139">
        <v>0</v>
      </c>
      <c r="AA215" s="139">
        <v>0</v>
      </c>
      <c r="AB215" s="139">
        <v>0</v>
      </c>
      <c r="AC215" s="139">
        <v>0</v>
      </c>
      <c r="AD215" s="139">
        <v>0</v>
      </c>
      <c r="AE215" s="139">
        <v>0</v>
      </c>
      <c r="AF215" s="139">
        <v>0</v>
      </c>
      <c r="AG215" s="139">
        <v>0</v>
      </c>
      <c r="AH215" s="139">
        <v>0</v>
      </c>
      <c r="AI215" s="139">
        <v>0</v>
      </c>
      <c r="AJ215" s="139">
        <v>0</v>
      </c>
      <c r="AK215" s="139">
        <v>0</v>
      </c>
      <c r="AL215" s="139">
        <v>0</v>
      </c>
      <c r="AM215" s="139">
        <v>0</v>
      </c>
      <c r="AN215" s="139">
        <v>0</v>
      </c>
      <c r="AO215" s="139">
        <v>0</v>
      </c>
      <c r="AP215" s="139">
        <v>0</v>
      </c>
      <c r="AQ215" s="139">
        <v>0</v>
      </c>
      <c r="AR215" s="139">
        <v>0</v>
      </c>
      <c r="AS215" s="139">
        <v>0</v>
      </c>
      <c r="AT215" s="139">
        <v>0</v>
      </c>
      <c r="AU215" s="139">
        <v>0</v>
      </c>
      <c r="AV215" s="139">
        <v>0</v>
      </c>
      <c r="AW215" s="139">
        <v>0</v>
      </c>
      <c r="AX215" s="139">
        <v>0</v>
      </c>
      <c r="AY215" s="139">
        <v>0</v>
      </c>
      <c r="AZ215" s="139">
        <v>0</v>
      </c>
      <c r="BA215" s="139">
        <v>0</v>
      </c>
      <c r="BB215" s="139">
        <v>0</v>
      </c>
      <c r="BC215" s="139">
        <v>0</v>
      </c>
      <c r="BD215" s="139">
        <v>0</v>
      </c>
      <c r="BE215" s="139">
        <v>0</v>
      </c>
      <c r="BF215" s="139">
        <v>0</v>
      </c>
      <c r="BG215" s="139">
        <v>0</v>
      </c>
      <c r="BH215" s="139">
        <v>0</v>
      </c>
      <c r="BI215" s="139">
        <v>0</v>
      </c>
      <c r="BJ215" s="152" t="str">
        <f t="shared" si="113"/>
        <v xml:space="preserve">     Interest and Invest. Income</v>
      </c>
      <c r="BK215" s="139">
        <f>SUMIFS($B215:$BI215,$B$4:$BI$4,"&lt;=12")</f>
        <v>0</v>
      </c>
      <c r="BL215" s="139">
        <f>SUMIFS($B215:$BI215,$B$4:$BI$4,"&lt;=24",$B$4:$BI$4,"&gt;12")</f>
        <v>0</v>
      </c>
      <c r="BM215" s="139">
        <f>SUMIFS($B215:$BI215,$B$4:$BI$4,"&lt;=36",$B$4:$BI$4,"&gt;24")</f>
        <v>0</v>
      </c>
      <c r="BN215" s="139">
        <f>SUMIFS($B215:$BI215,$B$4:$BI$4,"&lt;=48",$B$4:$BI$4,"&gt;36")</f>
        <v>0</v>
      </c>
      <c r="BO215" s="139">
        <f>SUMIFS($B215:$BI215,$B$4:$BI$4,"&lt;=60",$B$4:$BI$4,"&gt;48")</f>
        <v>0</v>
      </c>
    </row>
    <row r="216" spans="1:67" ht="13.4" customHeight="1">
      <c r="A216" s="146" t="s">
        <v>280</v>
      </c>
      <c r="B216" s="139">
        <f t="shared" ref="B216:AG216" si="135">-B214+B215</f>
        <v>-16666.666666666668</v>
      </c>
      <c r="C216" s="139">
        <f t="shared" si="135"/>
        <v>-16576.388888888887</v>
      </c>
      <c r="D216" s="139">
        <f t="shared" si="135"/>
        <v>-16486.600115740737</v>
      </c>
      <c r="E216" s="139">
        <f t="shared" si="135"/>
        <v>-16397.297698447142</v>
      </c>
      <c r="F216" s="139">
        <f t="shared" si="135"/>
        <v>-16308.479002580556</v>
      </c>
      <c r="G216" s="139">
        <f t="shared" si="135"/>
        <v>-16220.141407983245</v>
      </c>
      <c r="H216" s="139">
        <f t="shared" si="135"/>
        <v>-16132.282308690003</v>
      </c>
      <c r="I216" s="139">
        <f t="shared" si="135"/>
        <v>-16044.899112851266</v>
      </c>
      <c r="J216" s="139">
        <f t="shared" si="135"/>
        <v>-15957.989242656655</v>
      </c>
      <c r="K216" s="139">
        <f t="shared" si="135"/>
        <v>-15871.550134258929</v>
      </c>
      <c r="L216" s="139">
        <f t="shared" si="135"/>
        <v>-15785.579237698357</v>
      </c>
      <c r="M216" s="139">
        <f t="shared" si="135"/>
        <v>-15700.074016827492</v>
      </c>
      <c r="N216" s="139">
        <f t="shared" si="135"/>
        <v>-15615.031949236345</v>
      </c>
      <c r="O216" s="139">
        <f t="shared" si="135"/>
        <v>-15530.45052617798</v>
      </c>
      <c r="P216" s="139">
        <f t="shared" si="135"/>
        <v>-15446.327252494517</v>
      </c>
      <c r="Q216" s="139">
        <f t="shared" si="135"/>
        <v>-15362.659646543505</v>
      </c>
      <c r="R216" s="139">
        <f t="shared" si="135"/>
        <v>-15279.445240124725</v>
      </c>
      <c r="S216" s="139">
        <f t="shared" si="135"/>
        <v>-15196.681578407384</v>
      </c>
      <c r="T216" s="139">
        <f t="shared" si="135"/>
        <v>-15114.366219857677</v>
      </c>
      <c r="U216" s="139">
        <f t="shared" si="135"/>
        <v>-15032.496736166782</v>
      </c>
      <c r="V216" s="139">
        <f t="shared" si="135"/>
        <v>-14951.070712179213</v>
      </c>
      <c r="W216" s="139">
        <f t="shared" si="135"/>
        <v>-14870.085745821574</v>
      </c>
      <c r="X216" s="139">
        <f t="shared" si="135"/>
        <v>-14789.539448031706</v>
      </c>
      <c r="Y216" s="139">
        <f t="shared" si="135"/>
        <v>-14709.429442688202</v>
      </c>
      <c r="Z216" s="139">
        <f t="shared" si="135"/>
        <v>-14629.753366540308</v>
      </c>
      <c r="AA216" s="139">
        <f t="shared" si="135"/>
        <v>-14550.508869138215</v>
      </c>
      <c r="AB216" s="139">
        <f t="shared" si="135"/>
        <v>-14471.693612763715</v>
      </c>
      <c r="AC216" s="139">
        <f t="shared" si="135"/>
        <v>-14393.305272361245</v>
      </c>
      <c r="AD216" s="139">
        <f t="shared" si="135"/>
        <v>-14315.341535469288</v>
      </c>
      <c r="AE216" s="139">
        <f t="shared" si="135"/>
        <v>-14237.800102152165</v>
      </c>
      <c r="AF216" s="139">
        <f t="shared" si="135"/>
        <v>-14160.678684932171</v>
      </c>
      <c r="AG216" s="139">
        <f t="shared" si="135"/>
        <v>-14083.97500872212</v>
      </c>
      <c r="AH216" s="139">
        <f t="shared" ref="AH216:BM216" si="136">-AH214+AH215</f>
        <v>-14007.686810758209</v>
      </c>
      <c r="AI216" s="139">
        <f t="shared" si="136"/>
        <v>-13931.811840533268</v>
      </c>
      <c r="AJ216" s="139">
        <f t="shared" si="136"/>
        <v>-13856.347859730378</v>
      </c>
      <c r="AK216" s="139">
        <f t="shared" si="136"/>
        <v>-13781.292642156837</v>
      </c>
      <c r="AL216" s="139">
        <f t="shared" si="136"/>
        <v>-13706.643973678489</v>
      </c>
      <c r="AM216" s="139">
        <f t="shared" si="136"/>
        <v>-13632.399652154396</v>
      </c>
      <c r="AN216" s="139">
        <f t="shared" si="136"/>
        <v>-13558.557487371892</v>
      </c>
      <c r="AO216" s="139">
        <f t="shared" si="136"/>
        <v>-13485.115300981963</v>
      </c>
      <c r="AP216" s="139">
        <f t="shared" si="136"/>
        <v>-13412.070926434977</v>
      </c>
      <c r="AQ216" s="139">
        <f t="shared" si="136"/>
        <v>-13339.422208916789</v>
      </c>
      <c r="AR216" s="139">
        <f t="shared" si="136"/>
        <v>-13267.167005285155</v>
      </c>
      <c r="AS216" s="139">
        <f t="shared" si="136"/>
        <v>-13195.303184006525</v>
      </c>
      <c r="AT216" s="139">
        <f t="shared" si="136"/>
        <v>-13123.828625093156</v>
      </c>
      <c r="AU216" s="139">
        <f t="shared" si="136"/>
        <v>-13052.741220040569</v>
      </c>
      <c r="AV216" s="139">
        <f t="shared" si="136"/>
        <v>-12982.03887176535</v>
      </c>
      <c r="AW216" s="139">
        <f t="shared" si="136"/>
        <v>-12911.719494543286</v>
      </c>
      <c r="AX216" s="139">
        <f t="shared" si="136"/>
        <v>-12841.781013947842</v>
      </c>
      <c r="AY216" s="139">
        <f t="shared" si="136"/>
        <v>-12772.221366788959</v>
      </c>
      <c r="AZ216" s="139">
        <f t="shared" si="136"/>
        <v>-12703.038501052186</v>
      </c>
      <c r="BA216" s="139">
        <f t="shared" si="136"/>
        <v>-12634.230375838153</v>
      </c>
      <c r="BB216" s="139">
        <f t="shared" si="136"/>
        <v>-12565.794961302363</v>
      </c>
      <c r="BC216" s="139">
        <f t="shared" si="136"/>
        <v>-12497.73023859531</v>
      </c>
      <c r="BD216" s="139">
        <f t="shared" si="136"/>
        <v>-12430.034199802918</v>
      </c>
      <c r="BE216" s="139">
        <f t="shared" si="136"/>
        <v>-12362.704847887318</v>
      </c>
      <c r="BF216" s="139">
        <f t="shared" si="136"/>
        <v>-12295.740196627929</v>
      </c>
      <c r="BG216" s="139">
        <f t="shared" si="136"/>
        <v>-12229.13827056286</v>
      </c>
      <c r="BH216" s="139">
        <f t="shared" si="136"/>
        <v>-12162.897104930644</v>
      </c>
      <c r="BI216" s="147">
        <f t="shared" si="136"/>
        <v>-12097.01474561227</v>
      </c>
      <c r="BJ216" s="148" t="str">
        <f t="shared" si="113"/>
        <v>Total Other Income and Expenses</v>
      </c>
      <c r="BK216" s="139">
        <f>SUMIFS($B216:$BI216,$B$4:$BI$4,"&lt;=12")</f>
        <v>-194147.94783328992</v>
      </c>
      <c r="BL216" s="139">
        <f>SUMIFS($B216:$BI216,$B$4:$BI$4,"&lt;=24",$B$4:$BI$4,"&gt;12")</f>
        <v>-181897.58449772964</v>
      </c>
      <c r="BM216" s="139">
        <f>SUMIFS($B216:$BI216,$B$4:$BI$4,"&lt;=36",$B$4:$BI$4,"&gt;24")</f>
        <v>-170420.1956052579</v>
      </c>
      <c r="BN216" s="139">
        <f>SUMIFS($B216:$BI216,$B$4:$BI$4,"&lt;=48",$B$4:$BI$4,"&gt;36")</f>
        <v>-159667.00795027253</v>
      </c>
      <c r="BO216" s="139">
        <f>SUMIFS($B216:$BI216,$B$4:$BI$4,"&lt;=60",$B$4:$BI$4,"&gt;48")</f>
        <v>-149592.32582294877</v>
      </c>
    </row>
    <row r="217" spans="1:67" ht="13.4" customHeight="1">
      <c r="A217" s="146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  <c r="AE217" s="149"/>
      <c r="AF217" s="149"/>
      <c r="AG217" s="149"/>
      <c r="AH217" s="149"/>
      <c r="AI217" s="149"/>
      <c r="AJ217" s="149"/>
      <c r="AK217" s="149"/>
      <c r="AL217" s="149"/>
      <c r="AM217" s="149"/>
      <c r="AN217" s="149"/>
      <c r="AO217" s="149"/>
      <c r="AP217" s="149"/>
      <c r="AQ217" s="149"/>
      <c r="AR217" s="149"/>
      <c r="AS217" s="149"/>
      <c r="AT217" s="149"/>
      <c r="AU217" s="149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57"/>
      <c r="BJ217" s="148">
        <f t="shared" si="113"/>
        <v>0</v>
      </c>
      <c r="BK217" s="149"/>
      <c r="BL217" s="149"/>
      <c r="BM217" s="149"/>
      <c r="BN217" s="149"/>
      <c r="BO217" s="149"/>
    </row>
    <row r="218" spans="1:67" ht="13.4" customHeight="1">
      <c r="A218" s="146" t="s">
        <v>281</v>
      </c>
      <c r="B218" s="139">
        <f t="shared" ref="B218:AG218" ca="1" si="137">B211+B216</f>
        <v>8851.2737382147934</v>
      </c>
      <c r="C218" s="139">
        <f t="shared" ca="1" si="137"/>
        <v>32758.856441325046</v>
      </c>
      <c r="D218" s="139">
        <f t="shared" ca="1" si="137"/>
        <v>116449.41839173579</v>
      </c>
      <c r="E218" s="139">
        <f t="shared" ca="1" si="137"/>
        <v>46140.873329863971</v>
      </c>
      <c r="F218" s="139">
        <f t="shared" ca="1" si="137"/>
        <v>40046.132208837793</v>
      </c>
      <c r="G218" s="139">
        <f t="shared" ca="1" si="137"/>
        <v>184130.88458086562</v>
      </c>
      <c r="H218" s="139">
        <f t="shared" ca="1" si="137"/>
        <v>145259.08088235784</v>
      </c>
      <c r="I218" s="139">
        <f t="shared" ca="1" si="137"/>
        <v>249724.43476590244</v>
      </c>
      <c r="J218" s="139">
        <f t="shared" ca="1" si="137"/>
        <v>356451.81583822821</v>
      </c>
      <c r="K218" s="139">
        <f t="shared" ca="1" si="137"/>
        <v>294792.78384350747</v>
      </c>
      <c r="L218" s="139">
        <f t="shared" ca="1" si="137"/>
        <v>388222.19458979164</v>
      </c>
      <c r="M218" s="139">
        <f t="shared" ca="1" si="137"/>
        <v>176200.88307102505</v>
      </c>
      <c r="N218" s="139">
        <f t="shared" ca="1" si="137"/>
        <v>498392.34940071695</v>
      </c>
      <c r="O218" s="139">
        <f t="shared" ca="1" si="137"/>
        <v>568209.23192899686</v>
      </c>
      <c r="P218" s="139">
        <f t="shared" ca="1" si="137"/>
        <v>633242.17427022604</v>
      </c>
      <c r="Q218" s="139">
        <f t="shared" ca="1" si="137"/>
        <v>418153.81041913293</v>
      </c>
      <c r="R218" s="139">
        <f t="shared" ca="1" si="137"/>
        <v>649163.447468756</v>
      </c>
      <c r="S218" s="139">
        <f t="shared" ca="1" si="137"/>
        <v>457487.58729772363</v>
      </c>
      <c r="T218" s="139">
        <f t="shared" ca="1" si="137"/>
        <v>507418.65219312155</v>
      </c>
      <c r="U218" s="139">
        <f t="shared" ca="1" si="137"/>
        <v>231355.07217086482</v>
      </c>
      <c r="V218" s="139">
        <f t="shared" ca="1" si="137"/>
        <v>882737.56916164781</v>
      </c>
      <c r="W218" s="139">
        <f t="shared" ca="1" si="137"/>
        <v>1071417.851414836</v>
      </c>
      <c r="X218" s="139">
        <f t="shared" ca="1" si="137"/>
        <v>657152.66584930499</v>
      </c>
      <c r="Y218" s="139">
        <f t="shared" ca="1" si="137"/>
        <v>377899.62483158294</v>
      </c>
      <c r="Z218" s="139">
        <f t="shared" ca="1" si="137"/>
        <v>1371304.86233758</v>
      </c>
      <c r="AA218" s="139">
        <f t="shared" ca="1" si="137"/>
        <v>844709.91667812294</v>
      </c>
      <c r="AB218" s="139">
        <f t="shared" ca="1" si="137"/>
        <v>943714.30155264051</v>
      </c>
      <c r="AC218" s="139">
        <f t="shared" ca="1" si="137"/>
        <v>1121304.3903610453</v>
      </c>
      <c r="AD218" s="139">
        <f t="shared" ca="1" si="137"/>
        <v>413401.99391537427</v>
      </c>
      <c r="AE218" s="139">
        <f t="shared" ca="1" si="137"/>
        <v>1142020.8311091058</v>
      </c>
      <c r="AF218" s="139">
        <f t="shared" ca="1" si="137"/>
        <v>799060.15817230556</v>
      </c>
      <c r="AG218" s="139">
        <f t="shared" ca="1" si="137"/>
        <v>408003.95031744166</v>
      </c>
      <c r="AH218" s="139">
        <f t="shared" ref="AH218:BI218" ca="1" si="138">AH211+AH216</f>
        <v>476738.7870888093</v>
      </c>
      <c r="AI218" s="139">
        <f t="shared" ca="1" si="138"/>
        <v>967114.42028576822</v>
      </c>
      <c r="AJ218" s="139">
        <f t="shared" ca="1" si="138"/>
        <v>2653721.152590252</v>
      </c>
      <c r="AK218" s="139">
        <f t="shared" ca="1" si="138"/>
        <v>1161859.8504258886</v>
      </c>
      <c r="AL218" s="139">
        <f t="shared" ca="1" si="138"/>
        <v>1569096.5564928607</v>
      </c>
      <c r="AM218" s="139">
        <f t="shared" ca="1" si="138"/>
        <v>1782547.5365411132</v>
      </c>
      <c r="AN218" s="139">
        <f t="shared" ca="1" si="138"/>
        <v>825499.22679724358</v>
      </c>
      <c r="AO218" s="139">
        <f t="shared" ca="1" si="138"/>
        <v>-345003.78655053122</v>
      </c>
      <c r="AP218" s="139">
        <f t="shared" ca="1" si="138"/>
        <v>673496.97877490264</v>
      </c>
      <c r="AQ218" s="139">
        <f t="shared" ca="1" si="138"/>
        <v>1313801.4314570501</v>
      </c>
      <c r="AR218" s="139">
        <f t="shared" ca="1" si="138"/>
        <v>-101144.51967488532</v>
      </c>
      <c r="AS218" s="139">
        <f t="shared" ca="1" si="138"/>
        <v>2045933.17929865</v>
      </c>
      <c r="AT218" s="139">
        <f t="shared" ca="1" si="138"/>
        <v>2142072.5115738371</v>
      </c>
      <c r="AU218" s="139">
        <f t="shared" ca="1" si="138"/>
        <v>1549172.0899769384</v>
      </c>
      <c r="AV218" s="139">
        <f t="shared" ca="1" si="138"/>
        <v>1320448.1023476501</v>
      </c>
      <c r="AW218" s="139">
        <f t="shared" ca="1" si="138"/>
        <v>2733696.8035389683</v>
      </c>
      <c r="AX218" s="139">
        <f t="shared" ca="1" si="138"/>
        <v>1802843.6303525907</v>
      </c>
      <c r="AY218" s="139">
        <f t="shared" ca="1" si="138"/>
        <v>831250.71772757987</v>
      </c>
      <c r="AZ218" s="139">
        <f t="shared" ca="1" si="138"/>
        <v>1993181.9370118631</v>
      </c>
      <c r="BA218" s="139">
        <f t="shared" ca="1" si="138"/>
        <v>488087.87772978802</v>
      </c>
      <c r="BB218" s="139">
        <f t="shared" ca="1" si="138"/>
        <v>1684052.2242950418</v>
      </c>
      <c r="BC218" s="139">
        <f t="shared" ca="1" si="138"/>
        <v>3145892.5818593609</v>
      </c>
      <c r="BD218" s="139">
        <f t="shared" ca="1" si="138"/>
        <v>2371919.9344656477</v>
      </c>
      <c r="BE218" s="139">
        <f t="shared" ca="1" si="138"/>
        <v>3868946.9875218077</v>
      </c>
      <c r="BF218" s="139">
        <f t="shared" ca="1" si="138"/>
        <v>3692276.7753798729</v>
      </c>
      <c r="BG218" s="139">
        <f t="shared" ca="1" si="138"/>
        <v>3467094.0205616341</v>
      </c>
      <c r="BH218" s="139">
        <f t="shared" ca="1" si="138"/>
        <v>1597644.7748357176</v>
      </c>
      <c r="BI218" s="147">
        <f t="shared" ca="1" si="138"/>
        <v>3043465.9463297115</v>
      </c>
      <c r="BJ218" s="148" t="str">
        <f t="shared" si="113"/>
        <v>Income Before Tax</v>
      </c>
      <c r="BK218" s="139">
        <f ca="1">SUMIFS($B218:$BI218,$B$4:$BI$4,"&lt;=12")</f>
        <v>2039028.6316816558</v>
      </c>
      <c r="BL218" s="139">
        <f ca="1">SUMIFS($B218:$BI218,$B$4:$BI$4,"&lt;=24",$B$4:$BI$4,"&gt;12")</f>
        <v>6952630.036406911</v>
      </c>
      <c r="BM218" s="139">
        <f ca="1">SUMIFS($B218:$BI218,$B$4:$BI$4,"&lt;=36",$B$4:$BI$4,"&gt;24")</f>
        <v>12302954.614834335</v>
      </c>
      <c r="BN218" s="139">
        <f ca="1">SUMIFS($B218:$BI218,$B$4:$BI$4,"&lt;=48",$B$4:$BI$4,"&gt;36")</f>
        <v>15509616.110573798</v>
      </c>
      <c r="BO218" s="139">
        <f ca="1">SUMIFS($B218:$BI218,$B$4:$BI$4,"&lt;=60",$B$4:$BI$4,"&gt;48")</f>
        <v>27986657.40807062</v>
      </c>
    </row>
    <row r="219" spans="1:67" ht="13.4" customHeight="1">
      <c r="A219" s="146" t="s">
        <v>282</v>
      </c>
      <c r="B219" s="139">
        <f ca="1">B218*'Assumption Table'!$C$110</f>
        <v>1858.7674850251065</v>
      </c>
      <c r="C219" s="139">
        <f ca="1">C218*'Assumption Table'!$C$110</f>
        <v>6879.3598526782598</v>
      </c>
      <c r="D219" s="139">
        <f ca="1">D218*'Assumption Table'!$C$110</f>
        <v>24454.377862264515</v>
      </c>
      <c r="E219" s="139">
        <f ca="1">E218*'Assumption Table'!$C$110</f>
        <v>9689.5833992714342</v>
      </c>
      <c r="F219" s="139">
        <f ca="1">F218*'Assumption Table'!$C$110</f>
        <v>8409.6877638559363</v>
      </c>
      <c r="G219" s="139">
        <f ca="1">G218*'Assumption Table'!$C$110</f>
        <v>38667.485761981778</v>
      </c>
      <c r="H219" s="139">
        <f ca="1">H218*'Assumption Table'!$C$110</f>
        <v>30504.406985295147</v>
      </c>
      <c r="I219" s="139">
        <f ca="1">I218*'Assumption Table'!$C$110</f>
        <v>52442.131300839508</v>
      </c>
      <c r="J219" s="139">
        <f ca="1">J218*'Assumption Table'!$C$110</f>
        <v>74854.881326027928</v>
      </c>
      <c r="K219" s="139">
        <f ca="1">K218*'Assumption Table'!$C$110</f>
        <v>61906.484607136568</v>
      </c>
      <c r="L219" s="139">
        <f ca="1">L218*'Assumption Table'!$C$110</f>
        <v>81526.660863856247</v>
      </c>
      <c r="M219" s="139">
        <f ca="1">M218*'Assumption Table'!$C$110</f>
        <v>37002.18544491526</v>
      </c>
      <c r="N219" s="139">
        <f ca="1">N218*'Assumption Table'!$C$110</f>
        <v>104662.39337415056</v>
      </c>
      <c r="O219" s="139">
        <f ca="1">O218*'Assumption Table'!$C$110</f>
        <v>119323.93870508934</v>
      </c>
      <c r="P219" s="139">
        <f ca="1">P218*'Assumption Table'!$C$110</f>
        <v>132980.85659674747</v>
      </c>
      <c r="Q219" s="139">
        <f ca="1">Q218*'Assumption Table'!$C$110</f>
        <v>87812.300188017907</v>
      </c>
      <c r="R219" s="139">
        <f ca="1">R218*'Assumption Table'!$C$110</f>
        <v>136324.32396843875</v>
      </c>
      <c r="S219" s="139">
        <f ca="1">S218*'Assumption Table'!$C$110</f>
        <v>96072.393332521955</v>
      </c>
      <c r="T219" s="139">
        <f ca="1">T218*'Assumption Table'!$C$110</f>
        <v>106557.91696055552</v>
      </c>
      <c r="U219" s="139">
        <f ca="1">U218*'Assumption Table'!$C$110</f>
        <v>48584.56515588161</v>
      </c>
      <c r="V219" s="139">
        <f ca="1">V218*'Assumption Table'!$C$110</f>
        <v>185374.88952394604</v>
      </c>
      <c r="W219" s="139">
        <f ca="1">W218*'Assumption Table'!$C$110</f>
        <v>224997.74879711555</v>
      </c>
      <c r="X219" s="139">
        <f ca="1">X218*'Assumption Table'!$C$110</f>
        <v>138002.05982835405</v>
      </c>
      <c r="Y219" s="139">
        <f ca="1">Y218*'Assumption Table'!$C$110</f>
        <v>79358.921214632413</v>
      </c>
      <c r="Z219" s="139">
        <f ca="1">Z218*'Assumption Table'!$C$110</f>
        <v>287974.02109089179</v>
      </c>
      <c r="AA219" s="139">
        <f ca="1">AA218*'Assumption Table'!$C$110</f>
        <v>177389.0825024058</v>
      </c>
      <c r="AB219" s="139">
        <f ca="1">AB218*'Assumption Table'!$C$110</f>
        <v>198180.00332605449</v>
      </c>
      <c r="AC219" s="139">
        <f ca="1">AC218*'Assumption Table'!$C$110</f>
        <v>235473.92197581948</v>
      </c>
      <c r="AD219" s="139">
        <f ca="1">AD218*'Assumption Table'!$C$110</f>
        <v>86814.418722228598</v>
      </c>
      <c r="AE219" s="139">
        <f ca="1">AE218*'Assumption Table'!$C$110</f>
        <v>239824.37453291222</v>
      </c>
      <c r="AF219" s="139">
        <f ca="1">AF218*'Assumption Table'!$C$110</f>
        <v>167802.63321618416</v>
      </c>
      <c r="AG219" s="139">
        <f ca="1">AG218*'Assumption Table'!$C$110</f>
        <v>85680.829566662753</v>
      </c>
      <c r="AH219" s="139">
        <f ca="1">AH218*'Assumption Table'!$C$110</f>
        <v>100115.14528864995</v>
      </c>
      <c r="AI219" s="139">
        <f ca="1">AI218*'Assumption Table'!$C$110</f>
        <v>203094.02826001131</v>
      </c>
      <c r="AJ219" s="139">
        <f ca="1">AJ218*'Assumption Table'!$C$110</f>
        <v>557281.44204395288</v>
      </c>
      <c r="AK219" s="139">
        <f ca="1">AK218*'Assumption Table'!$C$110</f>
        <v>243990.56858943659</v>
      </c>
      <c r="AL219" s="139">
        <f ca="1">AL218*'Assumption Table'!$C$110</f>
        <v>329510.27686350071</v>
      </c>
      <c r="AM219" s="139">
        <f ca="1">AM218*'Assumption Table'!$C$110</f>
        <v>374334.98267363373</v>
      </c>
      <c r="AN219" s="139">
        <f ca="1">AN218*'Assumption Table'!$C$110</f>
        <v>173354.83762742113</v>
      </c>
      <c r="AO219" s="139">
        <f ca="1">AO218*'Assumption Table'!$C$110</f>
        <v>-72450.795175611551</v>
      </c>
      <c r="AP219" s="139">
        <f ca="1">AP218*'Assumption Table'!$C$110</f>
        <v>141434.36554272956</v>
      </c>
      <c r="AQ219" s="139">
        <f ca="1">AQ218*'Assumption Table'!$C$110</f>
        <v>275898.3006059805</v>
      </c>
      <c r="AR219" s="139">
        <f ca="1">AR218*'Assumption Table'!$C$110</f>
        <v>-21240.349131725918</v>
      </c>
      <c r="AS219" s="139">
        <f ca="1">AS218*'Assumption Table'!$C$110</f>
        <v>429645.9676527165</v>
      </c>
      <c r="AT219" s="139">
        <f ca="1">AT218*'Assumption Table'!$C$110</f>
        <v>449835.22743050579</v>
      </c>
      <c r="AU219" s="139">
        <f ca="1">AU218*'Assumption Table'!$C$110</f>
        <v>325326.13889515708</v>
      </c>
      <c r="AV219" s="139">
        <f ca="1">AV218*'Assumption Table'!$C$110</f>
        <v>277294.10149300651</v>
      </c>
      <c r="AW219" s="139">
        <f ca="1">AW218*'Assumption Table'!$C$110</f>
        <v>574076.32874318329</v>
      </c>
      <c r="AX219" s="139">
        <f ca="1">AX218*'Assumption Table'!$C$110</f>
        <v>378597.16237404401</v>
      </c>
      <c r="AY219" s="139">
        <f ca="1">AY218*'Assumption Table'!$C$110</f>
        <v>174562.65072279176</v>
      </c>
      <c r="AZ219" s="139">
        <f ca="1">AZ218*'Assumption Table'!$C$110</f>
        <v>418568.20677249122</v>
      </c>
      <c r="BA219" s="139">
        <f ca="1">BA218*'Assumption Table'!$C$110</f>
        <v>102498.45432325549</v>
      </c>
      <c r="BB219" s="139">
        <f ca="1">BB218*'Assumption Table'!$C$110</f>
        <v>353650.96710195875</v>
      </c>
      <c r="BC219" s="139">
        <f ca="1">BC218*'Assumption Table'!$C$110</f>
        <v>660637.44219046575</v>
      </c>
      <c r="BD219" s="139">
        <f ca="1">BD218*'Assumption Table'!$C$110</f>
        <v>498103.18623778597</v>
      </c>
      <c r="BE219" s="139">
        <f ca="1">BE218*'Assumption Table'!$C$110</f>
        <v>812478.86737957958</v>
      </c>
      <c r="BF219" s="139">
        <f ca="1">BF218*'Assumption Table'!$C$110</f>
        <v>775378.12282977323</v>
      </c>
      <c r="BG219" s="139">
        <f ca="1">BG218*'Assumption Table'!$C$110</f>
        <v>728089.74431794311</v>
      </c>
      <c r="BH219" s="139">
        <f ca="1">BH218*'Assumption Table'!$C$110</f>
        <v>335505.40271550068</v>
      </c>
      <c r="BI219" s="147">
        <f ca="1">BI218*'Assumption Table'!$C$110</f>
        <v>639127.84872923943</v>
      </c>
      <c r="BJ219" s="148" t="str">
        <f t="shared" si="113"/>
        <v>Income tax expense</v>
      </c>
      <c r="BK219" s="139">
        <f ca="1">SUMIFS($B219:$BI219,$B$4:$BI$4,"&lt;=12")</f>
        <v>428196.01265314769</v>
      </c>
      <c r="BL219" s="139">
        <f ca="1">SUMIFS($B219:$BI219,$B$4:$BI$4,"&lt;=24",$B$4:$BI$4,"&gt;12")</f>
        <v>1460052.307645451</v>
      </c>
      <c r="BM219" s="139">
        <f ca="1">SUMIFS($B219:$BI219,$B$4:$BI$4,"&lt;=36",$B$4:$BI$4,"&gt;24")</f>
        <v>2583620.4691152098</v>
      </c>
      <c r="BN219" s="139">
        <f ca="1">SUMIFS($B219:$BI219,$B$4:$BI$4,"&lt;=48",$B$4:$BI$4,"&gt;36")</f>
        <v>3257019.3832204975</v>
      </c>
      <c r="BO219" s="139">
        <f ca="1">SUMIFS($B219:$BI219,$B$4:$BI$4,"&lt;=60",$B$4:$BI$4,"&gt;48")</f>
        <v>5877198.0556948297</v>
      </c>
    </row>
    <row r="220" spans="1:67" ht="13.4" customHeight="1">
      <c r="A220" s="146" t="s">
        <v>283</v>
      </c>
      <c r="B220" s="139">
        <f t="shared" ref="B220:AG220" ca="1" si="139">B218-B219</f>
        <v>6992.5062531896874</v>
      </c>
      <c r="C220" s="139">
        <f t="shared" ca="1" si="139"/>
        <v>25879.496588646787</v>
      </c>
      <c r="D220" s="139">
        <f t="shared" ca="1" si="139"/>
        <v>91995.040529471269</v>
      </c>
      <c r="E220" s="139">
        <f t="shared" ca="1" si="139"/>
        <v>36451.289930592538</v>
      </c>
      <c r="F220" s="139">
        <f t="shared" ca="1" si="139"/>
        <v>31636.444444981855</v>
      </c>
      <c r="G220" s="139">
        <f t="shared" ca="1" si="139"/>
        <v>145463.39881888384</v>
      </c>
      <c r="H220" s="139">
        <f t="shared" ca="1" si="139"/>
        <v>114754.67389706269</v>
      </c>
      <c r="I220" s="139">
        <f t="shared" ca="1" si="139"/>
        <v>197282.30346506293</v>
      </c>
      <c r="J220" s="139">
        <f t="shared" ca="1" si="139"/>
        <v>281596.9345122003</v>
      </c>
      <c r="K220" s="139">
        <f t="shared" ca="1" si="139"/>
        <v>232886.29923637089</v>
      </c>
      <c r="L220" s="139">
        <f t="shared" ca="1" si="139"/>
        <v>306695.53372593538</v>
      </c>
      <c r="M220" s="139">
        <f t="shared" ca="1" si="139"/>
        <v>139198.69762610979</v>
      </c>
      <c r="N220" s="139">
        <f t="shared" ca="1" si="139"/>
        <v>393729.95602656639</v>
      </c>
      <c r="O220" s="139">
        <f t="shared" ca="1" si="139"/>
        <v>448885.29322390753</v>
      </c>
      <c r="P220" s="139">
        <f t="shared" ca="1" si="139"/>
        <v>500261.31767347857</v>
      </c>
      <c r="Q220" s="139">
        <f t="shared" ca="1" si="139"/>
        <v>330341.51023111504</v>
      </c>
      <c r="R220" s="139">
        <f t="shared" ca="1" si="139"/>
        <v>512839.12350031722</v>
      </c>
      <c r="S220" s="139">
        <f t="shared" ca="1" si="139"/>
        <v>361415.19396520167</v>
      </c>
      <c r="T220" s="139">
        <f t="shared" ca="1" si="139"/>
        <v>400860.73523256602</v>
      </c>
      <c r="U220" s="139">
        <f t="shared" ca="1" si="139"/>
        <v>182770.50701498322</v>
      </c>
      <c r="V220" s="139">
        <f t="shared" ca="1" si="139"/>
        <v>697362.67963770172</v>
      </c>
      <c r="W220" s="139">
        <f t="shared" ca="1" si="139"/>
        <v>846420.10261772049</v>
      </c>
      <c r="X220" s="139">
        <f t="shared" ca="1" si="139"/>
        <v>519150.60602095095</v>
      </c>
      <c r="Y220" s="139">
        <f t="shared" ca="1" si="139"/>
        <v>298540.70361695054</v>
      </c>
      <c r="Z220" s="139">
        <f t="shared" ca="1" si="139"/>
        <v>1083330.8412466883</v>
      </c>
      <c r="AA220" s="139">
        <f t="shared" ca="1" si="139"/>
        <v>667320.83417571709</v>
      </c>
      <c r="AB220" s="139">
        <f t="shared" ca="1" si="139"/>
        <v>745534.29822658608</v>
      </c>
      <c r="AC220" s="139">
        <f t="shared" ca="1" si="139"/>
        <v>885830.46838522574</v>
      </c>
      <c r="AD220" s="139">
        <f t="shared" ca="1" si="139"/>
        <v>326587.57519314566</v>
      </c>
      <c r="AE220" s="139">
        <f t="shared" ca="1" si="139"/>
        <v>902196.45657619368</v>
      </c>
      <c r="AF220" s="139">
        <f t="shared" ca="1" si="139"/>
        <v>631257.52495612134</v>
      </c>
      <c r="AG220" s="139">
        <f t="shared" ca="1" si="139"/>
        <v>322323.12075077894</v>
      </c>
      <c r="AH220" s="139">
        <f t="shared" ref="AH220:BM220" ca="1" si="140">AH218-AH219</f>
        <v>376623.64180015936</v>
      </c>
      <c r="AI220" s="139">
        <f t="shared" ca="1" si="140"/>
        <v>764020.39202575688</v>
      </c>
      <c r="AJ220" s="139">
        <f t="shared" ca="1" si="140"/>
        <v>2096439.7105462991</v>
      </c>
      <c r="AK220" s="139">
        <f t="shared" ca="1" si="140"/>
        <v>917869.28183645196</v>
      </c>
      <c r="AL220" s="139">
        <f t="shared" ca="1" si="140"/>
        <v>1239586.27962936</v>
      </c>
      <c r="AM220" s="139">
        <f t="shared" ca="1" si="140"/>
        <v>1408212.5538674793</v>
      </c>
      <c r="AN220" s="139">
        <f t="shared" ca="1" si="140"/>
        <v>652144.38916982245</v>
      </c>
      <c r="AO220" s="139">
        <f t="shared" ca="1" si="140"/>
        <v>-272552.99137491966</v>
      </c>
      <c r="AP220" s="139">
        <f t="shared" ca="1" si="140"/>
        <v>532062.61323217303</v>
      </c>
      <c r="AQ220" s="139">
        <f t="shared" ca="1" si="140"/>
        <v>1037903.1308510697</v>
      </c>
      <c r="AR220" s="139">
        <f t="shared" ca="1" si="140"/>
        <v>-79904.170543159402</v>
      </c>
      <c r="AS220" s="139">
        <f t="shared" ca="1" si="140"/>
        <v>1616287.2116459336</v>
      </c>
      <c r="AT220" s="139">
        <f t="shared" ca="1" si="140"/>
        <v>1692237.2841433315</v>
      </c>
      <c r="AU220" s="139">
        <f t="shared" ca="1" si="140"/>
        <v>1223845.9510817814</v>
      </c>
      <c r="AV220" s="139">
        <f t="shared" ca="1" si="140"/>
        <v>1043154.0008546435</v>
      </c>
      <c r="AW220" s="139">
        <f t="shared" ca="1" si="140"/>
        <v>2159620.4747957848</v>
      </c>
      <c r="AX220" s="139">
        <f t="shared" ca="1" si="140"/>
        <v>1424246.4679785466</v>
      </c>
      <c r="AY220" s="139">
        <f t="shared" ca="1" si="140"/>
        <v>656688.06700478808</v>
      </c>
      <c r="AZ220" s="139">
        <f t="shared" ca="1" si="140"/>
        <v>1574613.7302393718</v>
      </c>
      <c r="BA220" s="139">
        <f t="shared" ca="1" si="140"/>
        <v>385589.4234065325</v>
      </c>
      <c r="BB220" s="139">
        <f t="shared" ca="1" si="140"/>
        <v>1330401.2571930829</v>
      </c>
      <c r="BC220" s="139">
        <f t="shared" ca="1" si="140"/>
        <v>2485255.1396688949</v>
      </c>
      <c r="BD220" s="139">
        <f t="shared" ca="1" si="140"/>
        <v>1873816.7482278617</v>
      </c>
      <c r="BE220" s="139">
        <f t="shared" ca="1" si="140"/>
        <v>3056468.120142228</v>
      </c>
      <c r="BF220" s="139">
        <f t="shared" ca="1" si="140"/>
        <v>2916898.6525500994</v>
      </c>
      <c r="BG220" s="139">
        <f t="shared" ca="1" si="140"/>
        <v>2739004.2762436909</v>
      </c>
      <c r="BH220" s="139">
        <f t="shared" ca="1" si="140"/>
        <v>1262139.372120217</v>
      </c>
      <c r="BI220" s="147">
        <f t="shared" ca="1" si="140"/>
        <v>2404338.0976004722</v>
      </c>
      <c r="BJ220" s="148" t="str">
        <f t="shared" si="113"/>
        <v>Net Income</v>
      </c>
      <c r="BK220" s="139">
        <f ca="1">SUMIFS($B220:$BI220,$B$4:$BI$4,"&lt;=12")</f>
        <v>1610832.6190285077</v>
      </c>
      <c r="BL220" s="139">
        <f ca="1">SUMIFS($B220:$BI220,$B$4:$BI$4,"&lt;=24",$B$4:$BI$4,"&gt;12")</f>
        <v>5492577.7287614597</v>
      </c>
      <c r="BM220" s="139">
        <f ca="1">SUMIFS($B220:$BI220,$B$4:$BI$4,"&lt;=36",$B$4:$BI$4,"&gt;24")</f>
        <v>9719334.145719124</v>
      </c>
      <c r="BN220" s="139">
        <f ca="1">SUMIFS($B220:$BI220,$B$4:$BI$4,"&lt;=48",$B$4:$BI$4,"&gt;36")</f>
        <v>12252596.727353299</v>
      </c>
      <c r="BO220" s="139">
        <f ca="1">SUMIFS($B220:$BI220,$B$4:$BI$4,"&lt;=60",$B$4:$BI$4,"&gt;48")</f>
        <v>22109459.352375787</v>
      </c>
    </row>
    <row r="221" spans="1:67" ht="13.4" customHeight="1">
      <c r="A221" s="6"/>
      <c r="B221" s="6"/>
      <c r="C221" s="6"/>
      <c r="D221" s="6"/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9"/>
      <c r="BJ221" s="19">
        <f t="shared" si="113"/>
        <v>0</v>
      </c>
      <c r="BK221" s="6"/>
      <c r="BL221" s="6"/>
      <c r="BM221" s="6"/>
      <c r="BN221" s="6"/>
      <c r="BO221" s="6"/>
    </row>
    <row r="222" spans="1:67" ht="13.4" customHeight="1">
      <c r="A222" s="140" t="s">
        <v>284</v>
      </c>
      <c r="B222" s="140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41"/>
      <c r="AJ222" s="141"/>
      <c r="AK222" s="141"/>
      <c r="AL222" s="141"/>
      <c r="AM222" s="141"/>
      <c r="AN222" s="141"/>
      <c r="AO222" s="141"/>
      <c r="AP222" s="141"/>
      <c r="AQ222" s="141"/>
      <c r="AR222" s="141"/>
      <c r="AS222" s="141"/>
      <c r="AT222" s="141"/>
      <c r="AU222" s="141"/>
      <c r="AV222" s="141"/>
      <c r="AW222" s="141"/>
      <c r="AX222" s="141"/>
      <c r="AY222" s="141"/>
      <c r="AZ222" s="141"/>
      <c r="BA222" s="141"/>
      <c r="BB222" s="141"/>
      <c r="BC222" s="141"/>
      <c r="BD222" s="141"/>
      <c r="BE222" s="141"/>
      <c r="BF222" s="141"/>
      <c r="BG222" s="141"/>
      <c r="BH222" s="141"/>
      <c r="BI222" s="142"/>
      <c r="BJ222" s="143" t="str">
        <f t="shared" si="113"/>
        <v>Statement of Cash Flows</v>
      </c>
      <c r="BK222" s="141"/>
      <c r="BL222" s="141"/>
      <c r="BM222" s="141"/>
      <c r="BN222" s="141"/>
      <c r="BO222" s="141"/>
    </row>
    <row r="223" spans="1:67" ht="13.4" customHeight="1">
      <c r="A223" s="6" t="s">
        <v>283</v>
      </c>
      <c r="B223" s="27">
        <f t="shared" ref="B223:AG223" ca="1" si="141">B220</f>
        <v>6992.5062531896874</v>
      </c>
      <c r="C223" s="27">
        <f t="shared" ca="1" si="141"/>
        <v>25879.496588646787</v>
      </c>
      <c r="D223" s="27">
        <f t="shared" ca="1" si="141"/>
        <v>91995.040529471269</v>
      </c>
      <c r="E223" s="27">
        <f t="shared" ca="1" si="141"/>
        <v>36451.289930592538</v>
      </c>
      <c r="F223" s="27">
        <f t="shared" ca="1" si="141"/>
        <v>31636.444444981855</v>
      </c>
      <c r="G223" s="27">
        <f t="shared" ca="1" si="141"/>
        <v>145463.39881888384</v>
      </c>
      <c r="H223" s="27">
        <f t="shared" ca="1" si="141"/>
        <v>114754.67389706269</v>
      </c>
      <c r="I223" s="27">
        <f t="shared" ca="1" si="141"/>
        <v>197282.30346506293</v>
      </c>
      <c r="J223" s="27">
        <f t="shared" ca="1" si="141"/>
        <v>281596.9345122003</v>
      </c>
      <c r="K223" s="27">
        <f t="shared" ca="1" si="141"/>
        <v>232886.29923637089</v>
      </c>
      <c r="L223" s="27">
        <f t="shared" ca="1" si="141"/>
        <v>306695.53372593538</v>
      </c>
      <c r="M223" s="27">
        <f t="shared" ca="1" si="141"/>
        <v>139198.69762610979</v>
      </c>
      <c r="N223" s="27">
        <f t="shared" ca="1" si="141"/>
        <v>393729.95602656639</v>
      </c>
      <c r="O223" s="27">
        <f t="shared" ca="1" si="141"/>
        <v>448885.29322390753</v>
      </c>
      <c r="P223" s="27">
        <f t="shared" ca="1" si="141"/>
        <v>500261.31767347857</v>
      </c>
      <c r="Q223" s="27">
        <f t="shared" ca="1" si="141"/>
        <v>330341.51023111504</v>
      </c>
      <c r="R223" s="27">
        <f t="shared" ca="1" si="141"/>
        <v>512839.12350031722</v>
      </c>
      <c r="S223" s="27">
        <f t="shared" ca="1" si="141"/>
        <v>361415.19396520167</v>
      </c>
      <c r="T223" s="27">
        <f t="shared" ca="1" si="141"/>
        <v>400860.73523256602</v>
      </c>
      <c r="U223" s="27">
        <f t="shared" ca="1" si="141"/>
        <v>182770.50701498322</v>
      </c>
      <c r="V223" s="27">
        <f t="shared" ca="1" si="141"/>
        <v>697362.67963770172</v>
      </c>
      <c r="W223" s="27">
        <f t="shared" ca="1" si="141"/>
        <v>846420.10261772049</v>
      </c>
      <c r="X223" s="27">
        <f t="shared" ca="1" si="141"/>
        <v>519150.60602095095</v>
      </c>
      <c r="Y223" s="27">
        <f t="shared" ca="1" si="141"/>
        <v>298540.70361695054</v>
      </c>
      <c r="Z223" s="27">
        <f t="shared" ca="1" si="141"/>
        <v>1083330.8412466883</v>
      </c>
      <c r="AA223" s="27">
        <f t="shared" ca="1" si="141"/>
        <v>667320.83417571709</v>
      </c>
      <c r="AB223" s="27">
        <f t="shared" ca="1" si="141"/>
        <v>745534.29822658608</v>
      </c>
      <c r="AC223" s="27">
        <f t="shared" ca="1" si="141"/>
        <v>885830.46838522574</v>
      </c>
      <c r="AD223" s="27">
        <f t="shared" ca="1" si="141"/>
        <v>326587.57519314566</v>
      </c>
      <c r="AE223" s="27">
        <f t="shared" ca="1" si="141"/>
        <v>902196.45657619368</v>
      </c>
      <c r="AF223" s="27">
        <f t="shared" ca="1" si="141"/>
        <v>631257.52495612134</v>
      </c>
      <c r="AG223" s="27">
        <f t="shared" ca="1" si="141"/>
        <v>322323.12075077894</v>
      </c>
      <c r="AH223" s="27">
        <f t="shared" ref="AH223:BI223" ca="1" si="142">AH220</f>
        <v>376623.64180015936</v>
      </c>
      <c r="AI223" s="27">
        <f t="shared" ca="1" si="142"/>
        <v>764020.39202575688</v>
      </c>
      <c r="AJ223" s="27">
        <f t="shared" ca="1" si="142"/>
        <v>2096439.7105462991</v>
      </c>
      <c r="AK223" s="27">
        <f t="shared" ca="1" si="142"/>
        <v>917869.28183645196</v>
      </c>
      <c r="AL223" s="27">
        <f t="shared" ca="1" si="142"/>
        <v>1239586.27962936</v>
      </c>
      <c r="AM223" s="27">
        <f t="shared" ca="1" si="142"/>
        <v>1408212.5538674793</v>
      </c>
      <c r="AN223" s="27">
        <f t="shared" ca="1" si="142"/>
        <v>652144.38916982245</v>
      </c>
      <c r="AO223" s="27">
        <f t="shared" ca="1" si="142"/>
        <v>-272552.99137491966</v>
      </c>
      <c r="AP223" s="27">
        <f t="shared" ca="1" si="142"/>
        <v>532062.61323217303</v>
      </c>
      <c r="AQ223" s="27">
        <f t="shared" ca="1" si="142"/>
        <v>1037903.1308510697</v>
      </c>
      <c r="AR223" s="27">
        <f t="shared" ca="1" si="142"/>
        <v>-79904.170543159402</v>
      </c>
      <c r="AS223" s="27">
        <f t="shared" ca="1" si="142"/>
        <v>1616287.2116459336</v>
      </c>
      <c r="AT223" s="27">
        <f t="shared" ca="1" si="142"/>
        <v>1692237.2841433315</v>
      </c>
      <c r="AU223" s="27">
        <f t="shared" ca="1" si="142"/>
        <v>1223845.9510817814</v>
      </c>
      <c r="AV223" s="27">
        <f t="shared" ca="1" si="142"/>
        <v>1043154.0008546435</v>
      </c>
      <c r="AW223" s="27">
        <f t="shared" ca="1" si="142"/>
        <v>2159620.4747957848</v>
      </c>
      <c r="AX223" s="27">
        <f t="shared" ca="1" si="142"/>
        <v>1424246.4679785466</v>
      </c>
      <c r="AY223" s="27">
        <f t="shared" ca="1" si="142"/>
        <v>656688.06700478808</v>
      </c>
      <c r="AZ223" s="27">
        <f t="shared" ca="1" si="142"/>
        <v>1574613.7302393718</v>
      </c>
      <c r="BA223" s="27">
        <f t="shared" ca="1" si="142"/>
        <v>385589.4234065325</v>
      </c>
      <c r="BB223" s="27">
        <f t="shared" ca="1" si="142"/>
        <v>1330401.2571930829</v>
      </c>
      <c r="BC223" s="27">
        <f t="shared" ca="1" si="142"/>
        <v>2485255.1396688949</v>
      </c>
      <c r="BD223" s="27">
        <f t="shared" ca="1" si="142"/>
        <v>1873816.7482278617</v>
      </c>
      <c r="BE223" s="27">
        <f t="shared" ca="1" si="142"/>
        <v>3056468.120142228</v>
      </c>
      <c r="BF223" s="27">
        <f t="shared" ca="1" si="142"/>
        <v>2916898.6525500994</v>
      </c>
      <c r="BG223" s="27">
        <f t="shared" ca="1" si="142"/>
        <v>2739004.2762436909</v>
      </c>
      <c r="BH223" s="27">
        <f t="shared" ca="1" si="142"/>
        <v>1262139.372120217</v>
      </c>
      <c r="BI223" s="27">
        <f t="shared" ca="1" si="142"/>
        <v>2404338.0976004722</v>
      </c>
      <c r="BJ223" s="19" t="str">
        <f t="shared" si="113"/>
        <v>Net Income</v>
      </c>
      <c r="BK223" s="6"/>
      <c r="BL223" s="6"/>
      <c r="BM223" s="6"/>
      <c r="BN223" s="6"/>
      <c r="BO223" s="6"/>
    </row>
    <row r="224" spans="1:67" ht="13.4" customHeight="1">
      <c r="A224" s="6" t="s">
        <v>285</v>
      </c>
      <c r="B224" s="27">
        <f t="shared" ref="B224:AG224" ca="1" si="143">B168</f>
        <v>671.44076466680087</v>
      </c>
      <c r="C224" s="27">
        <f t="shared" ca="1" si="143"/>
        <v>1286.8630761635857</v>
      </c>
      <c r="D224" s="27">
        <f t="shared" ca="1" si="143"/>
        <v>2513.4179605040672</v>
      </c>
      <c r="E224" s="27">
        <f t="shared" ca="1" si="143"/>
        <v>1739.1849577980715</v>
      </c>
      <c r="F224" s="27">
        <f t="shared" ca="1" si="143"/>
        <v>2360.1814412380727</v>
      </c>
      <c r="G224" s="27">
        <f t="shared" ca="1" si="143"/>
        <v>4054.9740690583235</v>
      </c>
      <c r="H224" s="27">
        <f t="shared" ca="1" si="143"/>
        <v>3877.2983104942823</v>
      </c>
      <c r="I224" s="27">
        <f t="shared" ca="1" si="143"/>
        <v>5448.2828461758336</v>
      </c>
      <c r="J224" s="27">
        <f t="shared" ca="1" si="143"/>
        <v>6871.4031566206113</v>
      </c>
      <c r="K224" s="27">
        <f t="shared" ca="1" si="143"/>
        <v>6792.7961800233716</v>
      </c>
      <c r="L224" s="27">
        <f t="shared" ca="1" si="143"/>
        <v>7965.2174293426779</v>
      </c>
      <c r="M224" s="27">
        <f t="shared" ca="1" si="143"/>
        <v>5043.0210541850311</v>
      </c>
      <c r="N224" s="27">
        <f t="shared" ca="1" si="143"/>
        <v>10814.585458675288</v>
      </c>
      <c r="O224" s="27">
        <f t="shared" ca="1" si="143"/>
        <v>10620.217384097912</v>
      </c>
      <c r="P224" s="27">
        <f t="shared" ca="1" si="143"/>
        <v>13150.493466690956</v>
      </c>
      <c r="Q224" s="27">
        <f t="shared" ca="1" si="143"/>
        <v>11293.885634464594</v>
      </c>
      <c r="R224" s="27">
        <f t="shared" ca="1" si="143"/>
        <v>12876.03454123864</v>
      </c>
      <c r="S224" s="27">
        <f t="shared" ca="1" si="143"/>
        <v>10561.840314724639</v>
      </c>
      <c r="T224" s="27">
        <f t="shared" ca="1" si="143"/>
        <v>11084.855369393021</v>
      </c>
      <c r="U224" s="27">
        <f t="shared" ca="1" si="143"/>
        <v>10364.566209739345</v>
      </c>
      <c r="V224" s="27">
        <f t="shared" ca="1" si="143"/>
        <v>16926.224510964188</v>
      </c>
      <c r="W224" s="27">
        <f t="shared" ca="1" si="143"/>
        <v>18918.370819160584</v>
      </c>
      <c r="X224" s="27">
        <f t="shared" ca="1" si="143"/>
        <v>17668.150970875198</v>
      </c>
      <c r="Y224" s="27">
        <f t="shared" ca="1" si="143"/>
        <v>12583.359043878909</v>
      </c>
      <c r="Z224" s="27">
        <f t="shared" ca="1" si="143"/>
        <v>25219.015540943343</v>
      </c>
      <c r="AA224" s="27">
        <f t="shared" ca="1" si="143"/>
        <v>19452.370024060252</v>
      </c>
      <c r="AB224" s="27">
        <f t="shared" ca="1" si="143"/>
        <v>17566.628275238683</v>
      </c>
      <c r="AC224" s="27">
        <f t="shared" ca="1" si="143"/>
        <v>27190.357205203094</v>
      </c>
      <c r="AD224" s="27">
        <f t="shared" ca="1" si="143"/>
        <v>16832.4283327431</v>
      </c>
      <c r="AE224" s="27">
        <f t="shared" ca="1" si="143"/>
        <v>29870.879413413677</v>
      </c>
      <c r="AF224" s="27">
        <f t="shared" ca="1" si="143"/>
        <v>19120.568796388619</v>
      </c>
      <c r="AG224" s="27">
        <f t="shared" ca="1" si="143"/>
        <v>12872.76078294028</v>
      </c>
      <c r="AH224" s="27">
        <f t="shared" ref="AH224:BI224" ca="1" si="144">AH168</f>
        <v>15312.373752980959</v>
      </c>
      <c r="AI224" s="27">
        <f t="shared" ca="1" si="144"/>
        <v>21976.066200687754</v>
      </c>
      <c r="AJ224" s="27">
        <f t="shared" ca="1" si="144"/>
        <v>46405.8087677808</v>
      </c>
      <c r="AK224" s="27">
        <f t="shared" ca="1" si="144"/>
        <v>23539.928829479162</v>
      </c>
      <c r="AL224" s="27">
        <f t="shared" ca="1" si="144"/>
        <v>37551.82935409432</v>
      </c>
      <c r="AM224" s="27">
        <f t="shared" ca="1" si="144"/>
        <v>40649.12600956524</v>
      </c>
      <c r="AN224" s="27">
        <f t="shared" ca="1" si="144"/>
        <v>32170.481477591311</v>
      </c>
      <c r="AO224" s="27">
        <f t="shared" ca="1" si="144"/>
        <v>15236.944339636579</v>
      </c>
      <c r="AP224" s="27">
        <f t="shared" ca="1" si="144"/>
        <v>19250.1079907608</v>
      </c>
      <c r="AQ224" s="27">
        <f t="shared" ca="1" si="144"/>
        <v>28688.119694634341</v>
      </c>
      <c r="AR224" s="27">
        <f t="shared" ca="1" si="144"/>
        <v>17652.520355504439</v>
      </c>
      <c r="AS224" s="27">
        <f t="shared" ca="1" si="144"/>
        <v>40667.599048442338</v>
      </c>
      <c r="AT224" s="27">
        <f t="shared" ca="1" si="144"/>
        <v>41461.92278116598</v>
      </c>
      <c r="AU224" s="27">
        <f t="shared" ca="1" si="144"/>
        <v>37441.810203170091</v>
      </c>
      <c r="AV224" s="27">
        <f t="shared" ca="1" si="144"/>
        <v>41172.952301808044</v>
      </c>
      <c r="AW224" s="27">
        <f t="shared" ca="1" si="144"/>
        <v>45509.041807275476</v>
      </c>
      <c r="AX224" s="27">
        <f t="shared" ca="1" si="144"/>
        <v>40624.428295052996</v>
      </c>
      <c r="AY224" s="27">
        <f t="shared" ca="1" si="144"/>
        <v>32330.843729442302</v>
      </c>
      <c r="AZ224" s="27">
        <f t="shared" ca="1" si="144"/>
        <v>45996.939226961222</v>
      </c>
      <c r="BA224" s="27">
        <f t="shared" ca="1" si="144"/>
        <v>29173.416717419383</v>
      </c>
      <c r="BB224" s="27">
        <f t="shared" ca="1" si="144"/>
        <v>40500.193446319587</v>
      </c>
      <c r="BC224" s="27">
        <f t="shared" ca="1" si="144"/>
        <v>58560.688212530702</v>
      </c>
      <c r="BD224" s="27">
        <f t="shared" ca="1" si="144"/>
        <v>58315.484234235344</v>
      </c>
      <c r="BE224" s="27">
        <f t="shared" ca="1" si="144"/>
        <v>77848.164824410444</v>
      </c>
      <c r="BF224" s="27">
        <f t="shared" ca="1" si="144"/>
        <v>77391.582871234103</v>
      </c>
      <c r="BG224" s="27">
        <f t="shared" ca="1" si="144"/>
        <v>69699.802779524238</v>
      </c>
      <c r="BH224" s="27">
        <f t="shared" ca="1" si="144"/>
        <v>40351.568623616455</v>
      </c>
      <c r="BI224" s="27">
        <f t="shared" ca="1" si="144"/>
        <v>70058.147336085633</v>
      </c>
      <c r="BJ224" s="19" t="str">
        <f t="shared" si="113"/>
        <v>Depreciation &amp; Amort.</v>
      </c>
      <c r="BK224" s="6"/>
      <c r="BL224" s="6"/>
      <c r="BM224" s="6"/>
      <c r="BN224" s="6"/>
      <c r="BO224" s="6"/>
    </row>
    <row r="225" spans="1:67" ht="13.4" customHeight="1">
      <c r="A225" s="6" t="s">
        <v>286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19" t="str">
        <f t="shared" si="113"/>
        <v>Amort. of Goodwill and Intangibles</v>
      </c>
      <c r="BK225" s="6"/>
      <c r="BL225" s="6"/>
      <c r="BM225" s="6"/>
      <c r="BN225" s="6"/>
      <c r="BO225" s="6"/>
    </row>
    <row r="226" spans="1:67" ht="13.4" customHeight="1">
      <c r="A226" s="6"/>
      <c r="B226" s="6"/>
      <c r="C226" s="6"/>
      <c r="D226" s="6"/>
      <c r="E226" s="6"/>
      <c r="F226" s="6"/>
      <c r="G226" s="6"/>
      <c r="H226" s="4"/>
      <c r="I226" s="4"/>
      <c r="J226" s="4"/>
      <c r="K226" s="4"/>
      <c r="L226" s="4"/>
      <c r="M226" s="4"/>
      <c r="N226" s="4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9"/>
      <c r="BJ226" s="19">
        <f t="shared" si="113"/>
        <v>0</v>
      </c>
      <c r="BK226" s="6"/>
      <c r="BL226" s="6"/>
      <c r="BM226" s="6"/>
      <c r="BN226" s="6"/>
      <c r="BO226" s="6"/>
    </row>
    <row r="227" spans="1:67" ht="13.4" customHeight="1">
      <c r="A227" s="6" t="s">
        <v>287</v>
      </c>
      <c r="B227" s="6"/>
      <c r="C227" s="6"/>
      <c r="D227" s="6"/>
      <c r="E227" s="6"/>
      <c r="F227" s="6"/>
      <c r="G227" s="6"/>
      <c r="H227" s="4"/>
      <c r="I227" s="4"/>
      <c r="J227" s="4"/>
      <c r="K227" s="4"/>
      <c r="L227" s="4"/>
      <c r="M227" s="4"/>
      <c r="N227" s="4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9"/>
      <c r="BJ227" s="19" t="str">
        <f t="shared" si="113"/>
        <v>(Gain) Loss From Sale Of Assets</v>
      </c>
      <c r="BK227" s="6"/>
      <c r="BL227" s="6"/>
      <c r="BM227" s="6"/>
      <c r="BN227" s="6"/>
      <c r="BO227" s="6"/>
    </row>
    <row r="228" spans="1:67" ht="13.4" customHeight="1">
      <c r="A228" s="6" t="s">
        <v>288</v>
      </c>
      <c r="B228" s="6"/>
      <c r="C228" s="6"/>
      <c r="D228" s="6"/>
      <c r="E228" s="6"/>
      <c r="F228" s="6"/>
      <c r="G228" s="6"/>
      <c r="H228" s="4"/>
      <c r="I228" s="4"/>
      <c r="J228" s="4"/>
      <c r="K228" s="4"/>
      <c r="L228" s="4"/>
      <c r="M228" s="4"/>
      <c r="N228" s="4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9"/>
      <c r="BJ228" s="19" t="str">
        <f t="shared" si="113"/>
        <v>Stock-Based Compensation</v>
      </c>
      <c r="BK228" s="6"/>
      <c r="BL228" s="6"/>
      <c r="BM228" s="6"/>
      <c r="BN228" s="6"/>
      <c r="BO228" s="6"/>
    </row>
    <row r="229" spans="1:67" ht="13.4" customHeight="1">
      <c r="A229" s="6" t="s">
        <v>289</v>
      </c>
      <c r="B229" s="6"/>
      <c r="C229" s="6"/>
      <c r="D229" s="6"/>
      <c r="E229" s="6"/>
      <c r="F229" s="6"/>
      <c r="G229" s="6"/>
      <c r="H229" s="4"/>
      <c r="I229" s="4"/>
      <c r="J229" s="4"/>
      <c r="K229" s="4"/>
      <c r="L229" s="4"/>
      <c r="M229" s="4"/>
      <c r="N229" s="4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9"/>
      <c r="BJ229" s="19" t="str">
        <f t="shared" si="113"/>
        <v>Other Operating Activities</v>
      </c>
      <c r="BK229" s="6"/>
      <c r="BL229" s="6"/>
      <c r="BM229" s="6"/>
      <c r="BN229" s="6"/>
      <c r="BO229" s="6"/>
    </row>
    <row r="230" spans="1:67" ht="13.4" customHeight="1">
      <c r="A230" s="6" t="s">
        <v>290</v>
      </c>
      <c r="B230" s="6"/>
      <c r="C230" s="6"/>
      <c r="D230" s="6"/>
      <c r="E230" s="6"/>
      <c r="F230" s="6"/>
      <c r="G230" s="6"/>
      <c r="H230" s="4"/>
      <c r="I230" s="4"/>
      <c r="J230" s="4"/>
      <c r="K230" s="4"/>
      <c r="L230" s="4"/>
      <c r="M230" s="4"/>
      <c r="N230" s="4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9"/>
      <c r="BJ230" s="19" t="str">
        <f t="shared" si="113"/>
        <v>Change in Acc. Receivable</v>
      </c>
      <c r="BK230" s="6"/>
      <c r="BL230" s="6"/>
      <c r="BM230" s="6"/>
      <c r="BN230" s="6"/>
      <c r="BO230" s="6"/>
    </row>
    <row r="231" spans="1:67" ht="13.4" customHeight="1">
      <c r="A231" s="6" t="s">
        <v>291</v>
      </c>
      <c r="B231" s="6"/>
      <c r="C231" s="6"/>
      <c r="D231" s="6"/>
      <c r="E231" s="6"/>
      <c r="F231" s="6"/>
      <c r="G231" s="6"/>
      <c r="H231" s="4"/>
      <c r="I231" s="4"/>
      <c r="J231" s="4"/>
      <c r="K231" s="4"/>
      <c r="L231" s="4"/>
      <c r="M231" s="4"/>
      <c r="N231" s="4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9"/>
      <c r="BJ231" s="19" t="str">
        <f t="shared" si="113"/>
        <v>Change in Acc. Payable</v>
      </c>
      <c r="BK231" s="6"/>
      <c r="BL231" s="6"/>
      <c r="BM231" s="6"/>
      <c r="BN231" s="6"/>
      <c r="BO231" s="6"/>
    </row>
    <row r="232" spans="1:67" ht="13.4" customHeight="1">
      <c r="A232" s="6" t="s">
        <v>292</v>
      </c>
      <c r="B232" s="6"/>
      <c r="C232" s="6"/>
      <c r="D232" s="6"/>
      <c r="E232" s="6"/>
      <c r="F232" s="6"/>
      <c r="G232" s="6"/>
      <c r="H232" s="4"/>
      <c r="I232" s="4"/>
      <c r="J232" s="4"/>
      <c r="K232" s="4"/>
      <c r="L232" s="4"/>
      <c r="M232" s="4"/>
      <c r="N232" s="4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9"/>
      <c r="BJ232" s="19" t="str">
        <f t="shared" si="113"/>
        <v>Change in Other Net Operating Assets</v>
      </c>
      <c r="BK232" s="6"/>
      <c r="BL232" s="6"/>
      <c r="BM232" s="6"/>
      <c r="BN232" s="6"/>
      <c r="BO232" s="6"/>
    </row>
    <row r="233" spans="1:67" ht="13.4" customHeight="1">
      <c r="A233" s="22" t="s">
        <v>293</v>
      </c>
      <c r="B233" s="6"/>
      <c r="C233" s="6"/>
      <c r="D233" s="6"/>
      <c r="E233" s="6"/>
      <c r="F233" s="6"/>
      <c r="G233" s="6"/>
      <c r="H233" s="4"/>
      <c r="I233" s="4"/>
      <c r="J233" s="4"/>
      <c r="K233" s="4"/>
      <c r="L233" s="4"/>
      <c r="M233" s="4"/>
      <c r="N233" s="4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9"/>
      <c r="BJ233" s="19" t="str">
        <f t="shared" si="113"/>
        <v>Cash from Ops.</v>
      </c>
      <c r="BK233" s="6"/>
      <c r="BL233" s="6"/>
      <c r="BM233" s="6"/>
      <c r="BN233" s="6"/>
      <c r="BO233" s="6"/>
    </row>
    <row r="234" spans="1:67" ht="13.4" customHeight="1">
      <c r="A234" s="6"/>
      <c r="B234" s="6"/>
      <c r="C234" s="6"/>
      <c r="D234" s="6"/>
      <c r="E234" s="6"/>
      <c r="F234" s="6"/>
      <c r="G234" s="6"/>
      <c r="H234" s="4"/>
      <c r="I234" s="4"/>
      <c r="J234" s="4"/>
      <c r="K234" s="4"/>
      <c r="L234" s="4"/>
      <c r="M234" s="4"/>
      <c r="N234" s="4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9"/>
      <c r="BJ234" s="19">
        <f t="shared" si="113"/>
        <v>0</v>
      </c>
      <c r="BK234" s="6"/>
      <c r="BL234" s="6"/>
      <c r="BM234" s="6"/>
      <c r="BN234" s="6"/>
      <c r="BO234" s="6"/>
    </row>
    <row r="235" spans="1:67" ht="13.4" customHeight="1">
      <c r="A235" s="6" t="s">
        <v>294</v>
      </c>
      <c r="B235" s="27">
        <f t="shared" ref="B235:AG235" ca="1" si="145">B122</f>
        <v>44610.979618539983</v>
      </c>
      <c r="C235" s="27">
        <f t="shared" ca="1" si="145"/>
        <v>41595.836187660134</v>
      </c>
      <c r="D235" s="27">
        <f t="shared" ca="1" si="145"/>
        <v>82140.644320322346</v>
      </c>
      <c r="E235" s="27">
        <f t="shared" ca="1" si="145"/>
        <v>0</v>
      </c>
      <c r="F235" s="27">
        <f t="shared" ca="1" si="145"/>
        <v>40443.941453016523</v>
      </c>
      <c r="G235" s="27">
        <f t="shared" ca="1" si="145"/>
        <v>113257.17192114402</v>
      </c>
      <c r="H235" s="27">
        <f t="shared" ca="1" si="145"/>
        <v>0</v>
      </c>
      <c r="I235" s="27">
        <f t="shared" ca="1" si="145"/>
        <v>104189.52809251823</v>
      </c>
      <c r="J235" s="27">
        <f t="shared" ca="1" si="145"/>
        <v>96206.784107038082</v>
      </c>
      <c r="K235" s="27">
        <f t="shared" ca="1" si="145"/>
        <v>0</v>
      </c>
      <c r="L235" s="27">
        <f t="shared" ca="1" si="145"/>
        <v>77813.113732781814</v>
      </c>
      <c r="M235" s="27">
        <f t="shared" ca="1" si="145"/>
        <v>0</v>
      </c>
      <c r="N235" s="27">
        <f t="shared" ca="1" si="145"/>
        <v>380390.23401507415</v>
      </c>
      <c r="O235" s="27">
        <f t="shared" ca="1" si="145"/>
        <v>0</v>
      </c>
      <c r="P235" s="27">
        <f t="shared" ca="1" si="145"/>
        <v>167906.16965379525</v>
      </c>
      <c r="Q235" s="27">
        <f t="shared" ca="1" si="145"/>
        <v>0</v>
      </c>
      <c r="R235" s="27">
        <f t="shared" ca="1" si="145"/>
        <v>103163.6844778845</v>
      </c>
      <c r="S235" s="27">
        <f t="shared" ca="1" si="145"/>
        <v>0</v>
      </c>
      <c r="T235" s="27">
        <f t="shared" ca="1" si="145"/>
        <v>32312.85868922167</v>
      </c>
      <c r="U235" s="27">
        <f t="shared" ca="1" si="145"/>
        <v>0</v>
      </c>
      <c r="V235" s="27">
        <f t="shared" ca="1" si="145"/>
        <v>435202.61369574023</v>
      </c>
      <c r="W235" s="27">
        <f t="shared" ca="1" si="145"/>
        <v>139266.68486200296</v>
      </c>
      <c r="X235" s="27">
        <f t="shared" ca="1" si="145"/>
        <v>0</v>
      </c>
      <c r="Y235" s="27">
        <f t="shared" ca="1" si="145"/>
        <v>0</v>
      </c>
      <c r="Z235" s="27">
        <f t="shared" ca="1" si="145"/>
        <v>834169.86243999749</v>
      </c>
      <c r="AA235" s="27">
        <f t="shared" ca="1" si="145"/>
        <v>0</v>
      </c>
      <c r="AB235" s="27">
        <f t="shared" ca="1" si="145"/>
        <v>0</v>
      </c>
      <c r="AC235" s="27">
        <f t="shared" ca="1" si="145"/>
        <v>637424.66759948165</v>
      </c>
      <c r="AD235" s="27">
        <f t="shared" ca="1" si="145"/>
        <v>0</v>
      </c>
      <c r="AE235" s="27">
        <f t="shared" ca="1" si="145"/>
        <v>855376.59115958714</v>
      </c>
      <c r="AF235" s="27">
        <f t="shared" ca="1" si="145"/>
        <v>0</v>
      </c>
      <c r="AG235" s="27">
        <f t="shared" ca="1" si="145"/>
        <v>0</v>
      </c>
      <c r="AH235" s="27">
        <f t="shared" ref="AH235:BI235" ca="1" si="146">AH122</f>
        <v>155517.75629311748</v>
      </c>
      <c r="AI235" s="27">
        <f t="shared" ca="1" si="146"/>
        <v>445310.83807293081</v>
      </c>
      <c r="AJ235" s="27">
        <f t="shared" ca="1" si="146"/>
        <v>1630141.8080677602</v>
      </c>
      <c r="AK235" s="27">
        <f t="shared" ca="1" si="146"/>
        <v>0</v>
      </c>
      <c r="AL235" s="27">
        <f t="shared" ca="1" si="146"/>
        <v>906880.98072054307</v>
      </c>
      <c r="AM235" s="27">
        <f t="shared" ca="1" si="146"/>
        <v>220545.39568493783</v>
      </c>
      <c r="AN235" s="27">
        <f t="shared" ca="1" si="146"/>
        <v>0</v>
      </c>
      <c r="AO235" s="27">
        <f t="shared" ca="1" si="146"/>
        <v>0</v>
      </c>
      <c r="AP235" s="27">
        <f t="shared" ca="1" si="146"/>
        <v>248816.6836274552</v>
      </c>
      <c r="AQ235" s="27">
        <f t="shared" ca="1" si="146"/>
        <v>631299.42489523394</v>
      </c>
      <c r="AR235" s="27">
        <f t="shared" ca="1" si="146"/>
        <v>0</v>
      </c>
      <c r="AS235" s="27">
        <f t="shared" ca="1" si="146"/>
        <v>1517517.2778061193</v>
      </c>
      <c r="AT235" s="27">
        <f t="shared" ca="1" si="146"/>
        <v>77005.935819931387</v>
      </c>
      <c r="AU235" s="27">
        <f t="shared" ca="1" si="146"/>
        <v>0</v>
      </c>
      <c r="AV235" s="27">
        <f t="shared" ca="1" si="146"/>
        <v>243667.771794164</v>
      </c>
      <c r="AW235" s="27">
        <f t="shared" ca="1" si="146"/>
        <v>292021.87126751442</v>
      </c>
      <c r="AX235" s="27">
        <f t="shared" ca="1" si="146"/>
        <v>0</v>
      </c>
      <c r="AY235" s="27">
        <f t="shared" ca="1" si="146"/>
        <v>0</v>
      </c>
      <c r="AZ235" s="27">
        <f t="shared" ca="1" si="146"/>
        <v>899256.91728473443</v>
      </c>
      <c r="BA235" s="27">
        <f t="shared" ca="1" si="146"/>
        <v>0</v>
      </c>
      <c r="BB235" s="27">
        <f t="shared" ca="1" si="146"/>
        <v>734844.31879104034</v>
      </c>
      <c r="BC235" s="27">
        <f t="shared" ca="1" si="146"/>
        <v>1211881.4117817825</v>
      </c>
      <c r="BD235" s="27">
        <f t="shared" ca="1" si="146"/>
        <v>2714.0721855092415</v>
      </c>
      <c r="BE235" s="27">
        <f t="shared" ca="1" si="146"/>
        <v>1297498.7037397742</v>
      </c>
      <c r="BF235" s="27">
        <f t="shared" ca="1" si="146"/>
        <v>0</v>
      </c>
      <c r="BG235" s="27">
        <f t="shared" ca="1" si="146"/>
        <v>0</v>
      </c>
      <c r="BH235" s="27">
        <f t="shared" ca="1" si="146"/>
        <v>0</v>
      </c>
      <c r="BI235" s="27">
        <f t="shared" ca="1" si="146"/>
        <v>1942836.4997754453</v>
      </c>
      <c r="BJ235" s="19" t="str">
        <f t="shared" si="113"/>
        <v>Capital Expenditure</v>
      </c>
      <c r="BK235" s="6"/>
      <c r="BL235" s="6"/>
      <c r="BM235" s="6"/>
      <c r="BN235" s="6"/>
      <c r="BO235" s="6"/>
    </row>
    <row r="236" spans="1:67" ht="13.4" customHeight="1">
      <c r="A236" s="6" t="s">
        <v>295</v>
      </c>
      <c r="B236" s="6"/>
      <c r="C236" s="6"/>
      <c r="D236" s="6"/>
      <c r="E236" s="6"/>
      <c r="F236" s="6"/>
      <c r="G236" s="6"/>
      <c r="H236" s="4"/>
      <c r="I236" s="4"/>
      <c r="J236" s="4"/>
      <c r="K236" s="4"/>
      <c r="L236" s="4"/>
      <c r="M236" s="4"/>
      <c r="N236" s="4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9"/>
      <c r="BJ236" s="19" t="str">
        <f t="shared" si="113"/>
        <v>Sale of Property, Plant, and Equipment</v>
      </c>
      <c r="BK236" s="6"/>
      <c r="BL236" s="6"/>
      <c r="BM236" s="6"/>
      <c r="BN236" s="6"/>
      <c r="BO236" s="6"/>
    </row>
    <row r="237" spans="1:67" ht="13.4" customHeight="1">
      <c r="A237" s="6" t="s">
        <v>296</v>
      </c>
      <c r="B237" s="6"/>
      <c r="C237" s="6"/>
      <c r="D237" s="6"/>
      <c r="E237" s="6"/>
      <c r="F237" s="6"/>
      <c r="G237" s="6"/>
      <c r="H237" s="4"/>
      <c r="I237" s="4"/>
      <c r="J237" s="4"/>
      <c r="K237" s="4"/>
      <c r="L237" s="4"/>
      <c r="M237" s="4"/>
      <c r="N237" s="4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9"/>
      <c r="BJ237" s="19" t="str">
        <f t="shared" si="113"/>
        <v>Cash Acquisitions</v>
      </c>
      <c r="BK237" s="6"/>
      <c r="BL237" s="6"/>
      <c r="BM237" s="6"/>
      <c r="BN237" s="6"/>
      <c r="BO237" s="6"/>
    </row>
    <row r="238" spans="1:67" ht="13.4" customHeight="1">
      <c r="A238" s="6" t="s">
        <v>297</v>
      </c>
      <c r="B238" s="6"/>
      <c r="C238" s="6"/>
      <c r="D238" s="6"/>
      <c r="E238" s="6"/>
      <c r="F238" s="6"/>
      <c r="G238" s="6"/>
      <c r="H238" s="4"/>
      <c r="I238" s="4"/>
      <c r="J238" s="4"/>
      <c r="K238" s="4"/>
      <c r="L238" s="4"/>
      <c r="M238" s="4"/>
      <c r="N238" s="4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9"/>
      <c r="BJ238" s="19" t="str">
        <f t="shared" si="113"/>
        <v>Divestitures</v>
      </c>
      <c r="BK238" s="6"/>
      <c r="BL238" s="6"/>
      <c r="BM238" s="6"/>
      <c r="BN238" s="6"/>
      <c r="BO238" s="6"/>
    </row>
    <row r="239" spans="1:67" ht="13.4" customHeight="1">
      <c r="A239" s="6" t="s">
        <v>298</v>
      </c>
      <c r="B239" s="6"/>
      <c r="C239" s="6"/>
      <c r="D239" s="6"/>
      <c r="E239" s="6"/>
      <c r="F239" s="6"/>
      <c r="G239" s="6"/>
      <c r="H239" s="4"/>
      <c r="I239" s="4"/>
      <c r="J239" s="4"/>
      <c r="K239" s="4"/>
      <c r="L239" s="4"/>
      <c r="M239" s="4"/>
      <c r="N239" s="4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9"/>
      <c r="BJ239" s="19" t="str">
        <f t="shared" si="113"/>
        <v>Invest. in Marketable &amp; Equity Securt.</v>
      </c>
      <c r="BK239" s="6"/>
      <c r="BL239" s="6"/>
      <c r="BM239" s="6"/>
      <c r="BN239" s="6"/>
      <c r="BO239" s="6"/>
    </row>
    <row r="240" spans="1:67" ht="13.4" customHeight="1">
      <c r="A240" s="6" t="s">
        <v>299</v>
      </c>
      <c r="B240" s="6"/>
      <c r="C240" s="6"/>
      <c r="D240" s="6"/>
      <c r="E240" s="6"/>
      <c r="F240" s="6"/>
      <c r="G240" s="6"/>
      <c r="H240" s="4"/>
      <c r="I240" s="4"/>
      <c r="J240" s="4"/>
      <c r="K240" s="4"/>
      <c r="L240" s="4"/>
      <c r="M240" s="4"/>
      <c r="N240" s="4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9"/>
      <c r="BJ240" s="19" t="str">
        <f t="shared" si="113"/>
        <v>Net (Inc.) Dec. in Loans Originated/Sold</v>
      </c>
      <c r="BK240" s="6"/>
      <c r="BL240" s="6"/>
      <c r="BM240" s="6"/>
      <c r="BN240" s="6"/>
      <c r="BO240" s="6"/>
    </row>
    <row r="241" spans="1:67" ht="13.4" customHeight="1">
      <c r="A241" s="6" t="s">
        <v>300</v>
      </c>
      <c r="B241" s="6"/>
      <c r="C241" s="6"/>
      <c r="D241" s="6"/>
      <c r="E241" s="6"/>
      <c r="F241" s="6"/>
      <c r="G241" s="6"/>
      <c r="H241" s="4"/>
      <c r="I241" s="4"/>
      <c r="J241" s="4"/>
      <c r="K241" s="4"/>
      <c r="L241" s="4"/>
      <c r="M241" s="4"/>
      <c r="N241" s="4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9"/>
      <c r="BJ241" s="19" t="str">
        <f t="shared" si="113"/>
        <v>Other Investing Activities</v>
      </c>
      <c r="BK241" s="6"/>
      <c r="BL241" s="6"/>
      <c r="BM241" s="6"/>
      <c r="BN241" s="6"/>
      <c r="BO241" s="6"/>
    </row>
    <row r="242" spans="1:67" ht="13.4" customHeight="1">
      <c r="A242" s="22" t="s">
        <v>301</v>
      </c>
      <c r="B242" s="6"/>
      <c r="C242" s="6"/>
      <c r="D242" s="6"/>
      <c r="E242" s="6"/>
      <c r="F242" s="6"/>
      <c r="G242" s="6"/>
      <c r="H242" s="4"/>
      <c r="I242" s="4"/>
      <c r="J242" s="4"/>
      <c r="K242" s="4"/>
      <c r="L242" s="4"/>
      <c r="M242" s="4"/>
      <c r="N242" s="4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9"/>
      <c r="BJ242" s="19" t="str">
        <f t="shared" si="113"/>
        <v>Cash from Investing</v>
      </c>
      <c r="BK242" s="6"/>
      <c r="BL242" s="6"/>
      <c r="BM242" s="6"/>
      <c r="BN242" s="6"/>
      <c r="BO242" s="6"/>
    </row>
    <row r="243" spans="1:67" ht="13.4" customHeight="1">
      <c r="A243" s="6"/>
      <c r="B243" s="6"/>
      <c r="C243" s="6"/>
      <c r="D243" s="6"/>
      <c r="E243" s="6"/>
      <c r="F243" s="6"/>
      <c r="G243" s="6"/>
      <c r="H243" s="4"/>
      <c r="I243" s="4"/>
      <c r="J243" s="4"/>
      <c r="K243" s="4"/>
      <c r="L243" s="4"/>
      <c r="M243" s="4"/>
      <c r="N243" s="4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9"/>
      <c r="BJ243" s="19">
        <f t="shared" si="113"/>
        <v>0</v>
      </c>
      <c r="BK243" s="6"/>
      <c r="BL243" s="6"/>
      <c r="BM243" s="6"/>
      <c r="BN243" s="6"/>
      <c r="BO243" s="6"/>
    </row>
    <row r="244" spans="1:67" ht="13.4" customHeight="1">
      <c r="A244" s="6" t="s">
        <v>302</v>
      </c>
      <c r="B244" s="6"/>
      <c r="C244" s="6"/>
      <c r="D244" s="6"/>
      <c r="E244" s="6"/>
      <c r="F244" s="6"/>
      <c r="G244" s="6"/>
      <c r="H244" s="4"/>
      <c r="I244" s="4"/>
      <c r="J244" s="4"/>
      <c r="K244" s="4"/>
      <c r="L244" s="4"/>
      <c r="M244" s="4"/>
      <c r="N244" s="4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9"/>
      <c r="BJ244" s="19" t="str">
        <f t="shared" si="113"/>
        <v>Short Term Debt Issued</v>
      </c>
      <c r="BK244" s="6"/>
      <c r="BL244" s="6"/>
      <c r="BM244" s="6"/>
      <c r="BN244" s="6"/>
      <c r="BO244" s="6"/>
    </row>
    <row r="245" spans="1:67" ht="13.4" customHeight="1">
      <c r="A245" s="6" t="s">
        <v>303</v>
      </c>
      <c r="B245" s="6"/>
      <c r="C245" s="6"/>
      <c r="D245" s="6"/>
      <c r="E245" s="6"/>
      <c r="F245" s="6"/>
      <c r="G245" s="6"/>
      <c r="H245" s="4"/>
      <c r="I245" s="4"/>
      <c r="J245" s="4"/>
      <c r="K245" s="4"/>
      <c r="L245" s="4"/>
      <c r="M245" s="4"/>
      <c r="N245" s="4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9"/>
      <c r="BJ245" s="19" t="str">
        <f t="shared" si="113"/>
        <v>Long-Term Debt Issued</v>
      </c>
      <c r="BK245" s="6"/>
      <c r="BL245" s="6"/>
      <c r="BM245" s="6"/>
      <c r="BN245" s="6"/>
      <c r="BO245" s="6"/>
    </row>
    <row r="246" spans="1:67" ht="13.4" customHeight="1">
      <c r="A246" s="6" t="s">
        <v>304</v>
      </c>
      <c r="B246" s="6"/>
      <c r="C246" s="6"/>
      <c r="D246" s="6"/>
      <c r="E246" s="6"/>
      <c r="F246" s="6"/>
      <c r="G246" s="6"/>
      <c r="H246" s="4"/>
      <c r="I246" s="4"/>
      <c r="J246" s="4"/>
      <c r="K246" s="4"/>
      <c r="L246" s="4"/>
      <c r="M246" s="4"/>
      <c r="N246" s="4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9"/>
      <c r="BJ246" s="19" t="str">
        <f t="shared" si="113"/>
        <v>Total Debt Issued</v>
      </c>
      <c r="BK246" s="6"/>
      <c r="BL246" s="6"/>
      <c r="BM246" s="6"/>
      <c r="BN246" s="6"/>
      <c r="BO246" s="6"/>
    </row>
    <row r="247" spans="1:67" ht="13.4" customHeight="1">
      <c r="A247" s="6" t="s">
        <v>305</v>
      </c>
      <c r="B247" s="6"/>
      <c r="C247" s="6"/>
      <c r="D247" s="6"/>
      <c r="E247" s="6"/>
      <c r="F247" s="6"/>
      <c r="G247" s="6"/>
      <c r="H247" s="4"/>
      <c r="I247" s="4"/>
      <c r="J247" s="4"/>
      <c r="K247" s="4"/>
      <c r="L247" s="4"/>
      <c r="M247" s="4"/>
      <c r="N247" s="4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9"/>
      <c r="BJ247" s="19" t="str">
        <f t="shared" si="113"/>
        <v>Short Term Debt Repaid</v>
      </c>
      <c r="BK247" s="6"/>
      <c r="BL247" s="6"/>
      <c r="BM247" s="6"/>
      <c r="BN247" s="6"/>
      <c r="BO247" s="6"/>
    </row>
    <row r="248" spans="1:67" ht="13.4" customHeight="1">
      <c r="A248" s="6" t="s">
        <v>306</v>
      </c>
      <c r="B248" s="6"/>
      <c r="C248" s="6"/>
      <c r="D248" s="6"/>
      <c r="E248" s="6"/>
      <c r="F248" s="6"/>
      <c r="G248" s="6"/>
      <c r="H248" s="4"/>
      <c r="I248" s="4"/>
      <c r="J248" s="4"/>
      <c r="K248" s="4"/>
      <c r="L248" s="4"/>
      <c r="M248" s="4"/>
      <c r="N248" s="4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9"/>
      <c r="BJ248" s="19" t="str">
        <f t="shared" si="113"/>
        <v>Long-Term Debt Repaid</v>
      </c>
      <c r="BK248" s="6"/>
      <c r="BL248" s="6"/>
      <c r="BM248" s="6"/>
      <c r="BN248" s="6"/>
      <c r="BO248" s="6"/>
    </row>
    <row r="249" spans="1:67" ht="13.4" customHeight="1">
      <c r="A249" s="6" t="s">
        <v>307</v>
      </c>
      <c r="B249" s="6"/>
      <c r="C249" s="6"/>
      <c r="D249" s="6"/>
      <c r="E249" s="6"/>
      <c r="F249" s="6"/>
      <c r="G249" s="6"/>
      <c r="H249" s="4"/>
      <c r="I249" s="4"/>
      <c r="J249" s="4"/>
      <c r="K249" s="4"/>
      <c r="L249" s="4"/>
      <c r="M249" s="4"/>
      <c r="N249" s="4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9"/>
      <c r="BJ249" s="19" t="str">
        <f t="shared" si="113"/>
        <v>Total Debt Repaid</v>
      </c>
      <c r="BK249" s="6"/>
      <c r="BL249" s="6"/>
      <c r="BM249" s="6"/>
      <c r="BN249" s="6"/>
      <c r="BO249" s="6"/>
    </row>
    <row r="250" spans="1:67" ht="13.4" customHeight="1">
      <c r="A250" s="6"/>
      <c r="B250" s="6"/>
      <c r="C250" s="6"/>
      <c r="D250" s="6"/>
      <c r="E250" s="6"/>
      <c r="F250" s="6"/>
      <c r="G250" s="6"/>
      <c r="H250" s="4"/>
      <c r="I250" s="4"/>
      <c r="J250" s="4"/>
      <c r="K250" s="4"/>
      <c r="L250" s="4"/>
      <c r="M250" s="4"/>
      <c r="N250" s="4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9"/>
      <c r="BJ250" s="19">
        <f t="shared" si="113"/>
        <v>0</v>
      </c>
      <c r="BK250" s="6"/>
      <c r="BL250" s="6"/>
      <c r="BM250" s="6"/>
      <c r="BN250" s="6"/>
      <c r="BO250" s="6"/>
    </row>
    <row r="251" spans="1:67" ht="13.4" customHeight="1">
      <c r="A251" s="6" t="s">
        <v>308</v>
      </c>
      <c r="B251" s="6"/>
      <c r="C251" s="6"/>
      <c r="D251" s="6"/>
      <c r="E251" s="6"/>
      <c r="F251" s="6"/>
      <c r="G251" s="6"/>
      <c r="H251" s="4"/>
      <c r="I251" s="4"/>
      <c r="J251" s="4"/>
      <c r="K251" s="4"/>
      <c r="L251" s="4"/>
      <c r="M251" s="4"/>
      <c r="N251" s="4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9"/>
      <c r="BJ251" s="19" t="str">
        <f t="shared" si="113"/>
        <v>Issuance of Common Stock</v>
      </c>
      <c r="BK251" s="6"/>
      <c r="BL251" s="6"/>
      <c r="BM251" s="6"/>
      <c r="BN251" s="6"/>
      <c r="BO251" s="6"/>
    </row>
    <row r="252" spans="1:67" ht="13.4" customHeight="1">
      <c r="A252" s="6" t="s">
        <v>309</v>
      </c>
      <c r="B252" s="6"/>
      <c r="C252" s="6"/>
      <c r="D252" s="6"/>
      <c r="E252" s="6"/>
      <c r="F252" s="6"/>
      <c r="G252" s="6"/>
      <c r="H252" s="4"/>
      <c r="I252" s="4"/>
      <c r="J252" s="4"/>
      <c r="K252" s="4"/>
      <c r="L252" s="4"/>
      <c r="M252" s="4"/>
      <c r="N252" s="4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9"/>
      <c r="BJ252" s="19" t="str">
        <f t="shared" si="113"/>
        <v>Repurchase of Common Stock</v>
      </c>
      <c r="BK252" s="6"/>
      <c r="BL252" s="6"/>
      <c r="BM252" s="6"/>
      <c r="BN252" s="6"/>
      <c r="BO252" s="6"/>
    </row>
    <row r="253" spans="1:67" ht="13.4" customHeight="1">
      <c r="A253" s="6"/>
      <c r="B253" s="6"/>
      <c r="C253" s="6"/>
      <c r="D253" s="6"/>
      <c r="E253" s="6"/>
      <c r="F253" s="6"/>
      <c r="G253" s="6"/>
      <c r="H253" s="4"/>
      <c r="I253" s="4"/>
      <c r="J253" s="4"/>
      <c r="K253" s="4"/>
      <c r="L253" s="4"/>
      <c r="M253" s="4"/>
      <c r="N253" s="4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9"/>
      <c r="BJ253" s="19">
        <f t="shared" si="113"/>
        <v>0</v>
      </c>
      <c r="BK253" s="6"/>
      <c r="BL253" s="6"/>
      <c r="BM253" s="6"/>
      <c r="BN253" s="6"/>
      <c r="BO253" s="6"/>
    </row>
    <row r="254" spans="1:67" ht="13.4" customHeight="1">
      <c r="A254" s="6" t="s">
        <v>310</v>
      </c>
      <c r="B254" s="6"/>
      <c r="C254" s="6"/>
      <c r="D254" s="6"/>
      <c r="E254" s="6"/>
      <c r="F254" s="6"/>
      <c r="G254" s="6"/>
      <c r="H254" s="4"/>
      <c r="I254" s="4"/>
      <c r="J254" s="4"/>
      <c r="K254" s="4"/>
      <c r="L254" s="4"/>
      <c r="M254" s="4"/>
      <c r="N254" s="4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9"/>
      <c r="BJ254" s="19" t="str">
        <f t="shared" si="113"/>
        <v>Common Dividends Paid</v>
      </c>
      <c r="BK254" s="6"/>
      <c r="BL254" s="6"/>
      <c r="BM254" s="6"/>
      <c r="BN254" s="6"/>
      <c r="BO254" s="6"/>
    </row>
    <row r="255" spans="1:67" ht="13.4" customHeight="1">
      <c r="A255" s="6" t="s">
        <v>311</v>
      </c>
      <c r="B255" s="6"/>
      <c r="C255" s="6"/>
      <c r="D255" s="6"/>
      <c r="E255" s="6"/>
      <c r="F255" s="6"/>
      <c r="G255" s="6"/>
      <c r="H255" s="4"/>
      <c r="I255" s="4"/>
      <c r="J255" s="4"/>
      <c r="K255" s="4"/>
      <c r="L255" s="4"/>
      <c r="M255" s="4"/>
      <c r="N255" s="4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9"/>
      <c r="BJ255" s="19" t="str">
        <f t="shared" si="113"/>
        <v>Total Dividends Paid</v>
      </c>
      <c r="BK255" s="6"/>
      <c r="BL255" s="6"/>
      <c r="BM255" s="6"/>
      <c r="BN255" s="6"/>
      <c r="BO255" s="6"/>
    </row>
    <row r="256" spans="1:67" ht="13.4" customHeight="1">
      <c r="A256" s="6"/>
      <c r="B256" s="6"/>
      <c r="C256" s="6"/>
      <c r="D256" s="6"/>
      <c r="E256" s="6"/>
      <c r="F256" s="6"/>
      <c r="G256" s="6"/>
      <c r="H256" s="4"/>
      <c r="I256" s="4"/>
      <c r="J256" s="4"/>
      <c r="K256" s="4"/>
      <c r="L256" s="4"/>
      <c r="M256" s="4"/>
      <c r="N256" s="4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9"/>
      <c r="BJ256" s="19">
        <f t="shared" si="113"/>
        <v>0</v>
      </c>
      <c r="BK256" s="6"/>
      <c r="BL256" s="6"/>
      <c r="BM256" s="6"/>
      <c r="BN256" s="6"/>
      <c r="BO256" s="6"/>
    </row>
    <row r="257" spans="1:67" ht="13.4" customHeight="1">
      <c r="A257" s="6" t="s">
        <v>312</v>
      </c>
      <c r="B257" s="6"/>
      <c r="C257" s="6"/>
      <c r="D257" s="6"/>
      <c r="E257" s="6"/>
      <c r="F257" s="6"/>
      <c r="G257" s="6"/>
      <c r="H257" s="4"/>
      <c r="I257" s="4"/>
      <c r="J257" s="4"/>
      <c r="K257" s="4"/>
      <c r="L257" s="4"/>
      <c r="M257" s="4"/>
      <c r="N257" s="4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9"/>
      <c r="BJ257" s="19" t="str">
        <f t="shared" si="113"/>
        <v>Special Dividend Paid</v>
      </c>
      <c r="BK257" s="6"/>
      <c r="BL257" s="6"/>
      <c r="BM257" s="6"/>
      <c r="BN257" s="6"/>
      <c r="BO257" s="6"/>
    </row>
    <row r="258" spans="1:67" ht="13.4" customHeight="1">
      <c r="A258" s="6" t="s">
        <v>313</v>
      </c>
      <c r="B258" s="6"/>
      <c r="C258" s="6"/>
      <c r="D258" s="6"/>
      <c r="E258" s="6"/>
      <c r="F258" s="6"/>
      <c r="G258" s="6"/>
      <c r="H258" s="4"/>
      <c r="I258" s="4"/>
      <c r="J258" s="4"/>
      <c r="K258" s="4"/>
      <c r="L258" s="4"/>
      <c r="M258" s="4"/>
      <c r="N258" s="4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9"/>
      <c r="BJ258" s="19" t="str">
        <f t="shared" si="113"/>
        <v>Other Financing Activities</v>
      </c>
      <c r="BK258" s="6"/>
      <c r="BL258" s="6"/>
      <c r="BM258" s="6"/>
      <c r="BN258" s="6"/>
      <c r="BO258" s="6"/>
    </row>
    <row r="259" spans="1:67" ht="13.4" customHeight="1">
      <c r="A259" s="22" t="s">
        <v>314</v>
      </c>
      <c r="B259" s="6"/>
      <c r="C259" s="6"/>
      <c r="D259" s="6"/>
      <c r="E259" s="6"/>
      <c r="F259" s="6"/>
      <c r="G259" s="6"/>
      <c r="H259" s="4"/>
      <c r="I259" s="4"/>
      <c r="J259" s="4"/>
      <c r="K259" s="4"/>
      <c r="L259" s="4"/>
      <c r="M259" s="4"/>
      <c r="N259" s="4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9"/>
      <c r="BJ259" s="19" t="str">
        <f t="shared" ref="BJ259:BJ322" si="147">A259</f>
        <v>Cash from Financing</v>
      </c>
      <c r="BK259" s="6"/>
      <c r="BL259" s="6"/>
      <c r="BM259" s="6"/>
      <c r="BN259" s="6"/>
      <c r="BO259" s="6"/>
    </row>
    <row r="260" spans="1:67" ht="13.4" customHeight="1">
      <c r="A260" s="6"/>
      <c r="B260" s="6"/>
      <c r="C260" s="6"/>
      <c r="D260" s="6"/>
      <c r="E260" s="6"/>
      <c r="F260" s="6"/>
      <c r="G260" s="6"/>
      <c r="H260" s="4"/>
      <c r="I260" s="4"/>
      <c r="J260" s="4"/>
      <c r="K260" s="4"/>
      <c r="L260" s="4"/>
      <c r="M260" s="4"/>
      <c r="N260" s="4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9"/>
      <c r="BJ260" s="19">
        <f t="shared" si="147"/>
        <v>0</v>
      </c>
      <c r="BK260" s="6"/>
      <c r="BL260" s="6"/>
      <c r="BM260" s="6"/>
      <c r="BN260" s="6"/>
      <c r="BO260" s="6"/>
    </row>
    <row r="261" spans="1:67" ht="13.4" customHeight="1">
      <c r="A261" s="22" t="s">
        <v>315</v>
      </c>
      <c r="B261" s="6"/>
      <c r="C261" s="6"/>
      <c r="D261" s="6"/>
      <c r="E261" s="6"/>
      <c r="F261" s="6"/>
      <c r="G261" s="6"/>
      <c r="H261" s="4"/>
      <c r="I261" s="4"/>
      <c r="J261" s="4"/>
      <c r="K261" s="4"/>
      <c r="L261" s="4"/>
      <c r="M261" s="4"/>
      <c r="N261" s="4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9"/>
      <c r="BJ261" s="19" t="str">
        <f t="shared" si="147"/>
        <v>Net Change in Cash</v>
      </c>
      <c r="BK261" s="6"/>
      <c r="BL261" s="6"/>
      <c r="BM261" s="6"/>
      <c r="BN261" s="6"/>
      <c r="BO261" s="6"/>
    </row>
    <row r="262" spans="1:67" ht="13.4" customHeight="1">
      <c r="A262" s="6"/>
      <c r="B262" s="6"/>
      <c r="C262" s="6"/>
      <c r="D262" s="6"/>
      <c r="E262" s="6"/>
      <c r="F262" s="6"/>
      <c r="G262" s="6"/>
      <c r="H262" s="4"/>
      <c r="I262" s="4"/>
      <c r="J262" s="4"/>
      <c r="K262" s="4"/>
      <c r="L262" s="4"/>
      <c r="M262" s="4"/>
      <c r="N262" s="4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9"/>
      <c r="BJ262" s="19">
        <f t="shared" si="147"/>
        <v>0</v>
      </c>
      <c r="BK262" s="6"/>
      <c r="BL262" s="6"/>
      <c r="BM262" s="6"/>
      <c r="BN262" s="6"/>
      <c r="BO262" s="6"/>
    </row>
    <row r="263" spans="1:67" ht="13.4" customHeight="1">
      <c r="A263" s="6"/>
      <c r="B263" s="6"/>
      <c r="C263" s="6"/>
      <c r="D263" s="6"/>
      <c r="E263" s="6"/>
      <c r="F263" s="6"/>
      <c r="G263" s="6"/>
      <c r="H263" s="4"/>
      <c r="I263" s="4"/>
      <c r="J263" s="4"/>
      <c r="K263" s="4"/>
      <c r="L263" s="4"/>
      <c r="M263" s="4"/>
      <c r="N263" s="4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9"/>
      <c r="BJ263" s="19">
        <f t="shared" si="147"/>
        <v>0</v>
      </c>
      <c r="BK263" s="6"/>
      <c r="BL263" s="6"/>
      <c r="BM263" s="6"/>
      <c r="BN263" s="6"/>
      <c r="BO263" s="6"/>
    </row>
    <row r="264" spans="1:67" ht="13.4" customHeight="1">
      <c r="A264" s="6"/>
      <c r="B264" s="6"/>
      <c r="C264" s="6"/>
      <c r="D264" s="6"/>
      <c r="E264" s="6"/>
      <c r="F264" s="6"/>
      <c r="G264" s="6"/>
      <c r="H264" s="4"/>
      <c r="I264" s="4"/>
      <c r="J264" s="4"/>
      <c r="K264" s="4"/>
      <c r="L264" s="4"/>
      <c r="M264" s="4"/>
      <c r="N264" s="4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9"/>
      <c r="BJ264" s="19">
        <f t="shared" si="147"/>
        <v>0</v>
      </c>
      <c r="BK264" s="6"/>
      <c r="BL264" s="6"/>
      <c r="BM264" s="6"/>
      <c r="BN264" s="6"/>
      <c r="BO264" s="6"/>
    </row>
    <row r="265" spans="1:67" ht="13.4" customHeight="1">
      <c r="A265" s="6"/>
      <c r="B265" s="6"/>
      <c r="C265" s="6"/>
      <c r="D265" s="6"/>
      <c r="E265" s="6"/>
      <c r="F265" s="6"/>
      <c r="G265" s="6"/>
      <c r="H265" s="4"/>
      <c r="I265" s="4"/>
      <c r="J265" s="4"/>
      <c r="K265" s="4"/>
      <c r="L265" s="4"/>
      <c r="M265" s="4"/>
      <c r="N265" s="4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9"/>
      <c r="BJ265" s="19">
        <f t="shared" si="147"/>
        <v>0</v>
      </c>
      <c r="BK265" s="6"/>
      <c r="BL265" s="6"/>
      <c r="BM265" s="6"/>
      <c r="BN265" s="6"/>
      <c r="BO265" s="6"/>
    </row>
    <row r="266" spans="1:67" ht="13.4" customHeight="1">
      <c r="A266" s="6"/>
      <c r="B266" s="6"/>
      <c r="C266" s="6"/>
      <c r="D266" s="6"/>
      <c r="E266" s="6"/>
      <c r="F266" s="6"/>
      <c r="G266" s="6"/>
      <c r="H266" s="4"/>
      <c r="I266" s="4"/>
      <c r="J266" s="4"/>
      <c r="K266" s="4"/>
      <c r="L266" s="4"/>
      <c r="M266" s="4"/>
      <c r="N266" s="4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9"/>
      <c r="BJ266" s="19">
        <f t="shared" si="147"/>
        <v>0</v>
      </c>
      <c r="BK266" s="6"/>
      <c r="BL266" s="6"/>
      <c r="BM266" s="6"/>
      <c r="BN266" s="6"/>
      <c r="BO266" s="6"/>
    </row>
    <row r="267" spans="1:67" ht="13.4" customHeight="1">
      <c r="A267" s="6"/>
      <c r="B267" s="6"/>
      <c r="C267" s="6"/>
      <c r="D267" s="6"/>
      <c r="E267" s="6"/>
      <c r="F267" s="6"/>
      <c r="G267" s="6"/>
      <c r="H267" s="4"/>
      <c r="I267" s="4"/>
      <c r="J267" s="4"/>
      <c r="K267" s="4"/>
      <c r="L267" s="4"/>
      <c r="M267" s="4"/>
      <c r="N267" s="4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9"/>
      <c r="BJ267" s="19">
        <f t="shared" si="147"/>
        <v>0</v>
      </c>
      <c r="BK267" s="6"/>
      <c r="BL267" s="6"/>
      <c r="BM267" s="6"/>
      <c r="BN267" s="6"/>
      <c r="BO267" s="6"/>
    </row>
    <row r="268" spans="1:67" ht="13.4" customHeight="1">
      <c r="A268" s="6"/>
      <c r="B268" s="6"/>
      <c r="C268" s="6"/>
      <c r="D268" s="6"/>
      <c r="E268" s="6"/>
      <c r="F268" s="6"/>
      <c r="G268" s="6"/>
      <c r="H268" s="4"/>
      <c r="I268" s="4"/>
      <c r="J268" s="4"/>
      <c r="K268" s="4"/>
      <c r="L268" s="4"/>
      <c r="M268" s="4"/>
      <c r="N268" s="4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9"/>
      <c r="BJ268" s="19">
        <f t="shared" si="147"/>
        <v>0</v>
      </c>
      <c r="BK268" s="6"/>
      <c r="BL268" s="6"/>
      <c r="BM268" s="6"/>
      <c r="BN268" s="6"/>
      <c r="BO268" s="6"/>
    </row>
    <row r="269" spans="1:67" ht="13.4" customHeight="1">
      <c r="A269" s="6"/>
      <c r="B269" s="6"/>
      <c r="C269" s="6"/>
      <c r="D269" s="6"/>
      <c r="E269" s="6"/>
      <c r="F269" s="6"/>
      <c r="G269" s="6"/>
      <c r="H269" s="4"/>
      <c r="I269" s="4"/>
      <c r="J269" s="4"/>
      <c r="K269" s="4"/>
      <c r="L269" s="4"/>
      <c r="M269" s="4"/>
      <c r="N269" s="4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9"/>
      <c r="BJ269" s="19">
        <f t="shared" si="147"/>
        <v>0</v>
      </c>
      <c r="BK269" s="6"/>
      <c r="BL269" s="6"/>
      <c r="BM269" s="6"/>
      <c r="BN269" s="6"/>
      <c r="BO269" s="6"/>
    </row>
    <row r="270" spans="1:67" ht="13.4" customHeight="1">
      <c r="A270" s="6"/>
      <c r="B270" s="6"/>
      <c r="C270" s="6"/>
      <c r="D270" s="6"/>
      <c r="E270" s="6"/>
      <c r="F270" s="6"/>
      <c r="G270" s="6"/>
      <c r="H270" s="4"/>
      <c r="I270" s="4"/>
      <c r="J270" s="4"/>
      <c r="K270" s="4"/>
      <c r="L270" s="4"/>
      <c r="M270" s="4"/>
      <c r="N270" s="4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9"/>
      <c r="BJ270" s="19">
        <f t="shared" si="147"/>
        <v>0</v>
      </c>
      <c r="BK270" s="6"/>
      <c r="BL270" s="6"/>
      <c r="BM270" s="6"/>
      <c r="BN270" s="6"/>
      <c r="BO270" s="6"/>
    </row>
    <row r="271" spans="1:67" ht="13.4" customHeight="1">
      <c r="A271" s="6"/>
      <c r="B271" s="6"/>
      <c r="C271" s="6"/>
      <c r="D271" s="6"/>
      <c r="E271" s="6"/>
      <c r="F271" s="6"/>
      <c r="G271" s="6"/>
      <c r="H271" s="4"/>
      <c r="I271" s="4"/>
      <c r="J271" s="4"/>
      <c r="K271" s="4"/>
      <c r="L271" s="4"/>
      <c r="M271" s="4"/>
      <c r="N271" s="4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9"/>
      <c r="BJ271" s="19">
        <f t="shared" si="147"/>
        <v>0</v>
      </c>
      <c r="BK271" s="6"/>
      <c r="BL271" s="6"/>
      <c r="BM271" s="6"/>
      <c r="BN271" s="6"/>
      <c r="BO271" s="6"/>
    </row>
    <row r="272" spans="1:67" ht="13.4" customHeight="1">
      <c r="A272" s="6"/>
      <c r="B272" s="6"/>
      <c r="C272" s="6"/>
      <c r="D272" s="6"/>
      <c r="E272" s="6"/>
      <c r="F272" s="6"/>
      <c r="G272" s="6"/>
      <c r="H272" s="4"/>
      <c r="I272" s="4"/>
      <c r="J272" s="4"/>
      <c r="K272" s="4"/>
      <c r="L272" s="4"/>
      <c r="M272" s="4"/>
      <c r="N272" s="4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9"/>
      <c r="BJ272" s="19">
        <f t="shared" si="147"/>
        <v>0</v>
      </c>
      <c r="BK272" s="6"/>
      <c r="BL272" s="6"/>
      <c r="BM272" s="6"/>
      <c r="BN272" s="6"/>
      <c r="BO272" s="6"/>
    </row>
    <row r="273" spans="1:67" ht="13.4" customHeight="1">
      <c r="A273" s="6"/>
      <c r="B273" s="6"/>
      <c r="C273" s="6"/>
      <c r="D273" s="6"/>
      <c r="E273" s="6"/>
      <c r="F273" s="6"/>
      <c r="G273" s="6"/>
      <c r="H273" s="4"/>
      <c r="I273" s="4"/>
      <c r="J273" s="4"/>
      <c r="K273" s="4"/>
      <c r="L273" s="4"/>
      <c r="M273" s="4"/>
      <c r="N273" s="4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9"/>
      <c r="BJ273" s="19">
        <f t="shared" si="147"/>
        <v>0</v>
      </c>
      <c r="BK273" s="6"/>
      <c r="BL273" s="6"/>
      <c r="BM273" s="6"/>
      <c r="BN273" s="6"/>
      <c r="BO273" s="6"/>
    </row>
    <row r="274" spans="1:67" ht="13.4" customHeight="1">
      <c r="A274" s="6"/>
      <c r="B274" s="6"/>
      <c r="C274" s="6"/>
      <c r="D274" s="6"/>
      <c r="E274" s="6"/>
      <c r="F274" s="6"/>
      <c r="G274" s="6"/>
      <c r="H274" s="4"/>
      <c r="I274" s="4"/>
      <c r="J274" s="4"/>
      <c r="K274" s="4"/>
      <c r="L274" s="4"/>
      <c r="M274" s="4"/>
      <c r="N274" s="4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9"/>
      <c r="BJ274" s="19">
        <f t="shared" si="147"/>
        <v>0</v>
      </c>
      <c r="BK274" s="6"/>
      <c r="BL274" s="6"/>
      <c r="BM274" s="6"/>
      <c r="BN274" s="6"/>
      <c r="BO274" s="6"/>
    </row>
    <row r="275" spans="1:67" ht="13.4" customHeight="1">
      <c r="A275" s="6"/>
      <c r="B275" s="6"/>
      <c r="C275" s="6"/>
      <c r="D275" s="6"/>
      <c r="E275" s="6"/>
      <c r="F275" s="6"/>
      <c r="G275" s="6"/>
      <c r="H275" s="4"/>
      <c r="I275" s="4"/>
      <c r="J275" s="4"/>
      <c r="K275" s="4"/>
      <c r="L275" s="4"/>
      <c r="M275" s="4"/>
      <c r="N275" s="4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9"/>
      <c r="BJ275" s="19">
        <f t="shared" si="147"/>
        <v>0</v>
      </c>
      <c r="BK275" s="6"/>
      <c r="BL275" s="6"/>
      <c r="BM275" s="6"/>
      <c r="BN275" s="6"/>
      <c r="BO275" s="6"/>
    </row>
    <row r="276" spans="1:67" ht="13.4" customHeight="1">
      <c r="A276" s="6"/>
      <c r="B276" s="6"/>
      <c r="C276" s="6"/>
      <c r="D276" s="6"/>
      <c r="E276" s="6"/>
      <c r="F276" s="6"/>
      <c r="G276" s="6"/>
      <c r="H276" s="4"/>
      <c r="I276" s="4"/>
      <c r="J276" s="4"/>
      <c r="K276" s="4"/>
      <c r="L276" s="4"/>
      <c r="M276" s="4"/>
      <c r="N276" s="4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9"/>
      <c r="BJ276" s="19">
        <f t="shared" si="147"/>
        <v>0</v>
      </c>
      <c r="BK276" s="6"/>
      <c r="BL276" s="6"/>
      <c r="BM276" s="6"/>
      <c r="BN276" s="6"/>
      <c r="BO276" s="6"/>
    </row>
    <row r="277" spans="1:67" ht="13.4" customHeight="1">
      <c r="A277" s="6"/>
      <c r="B277" s="6"/>
      <c r="C277" s="6"/>
      <c r="D277" s="6"/>
      <c r="E277" s="6"/>
      <c r="F277" s="6"/>
      <c r="G277" s="6"/>
      <c r="H277" s="4"/>
      <c r="I277" s="4"/>
      <c r="J277" s="4"/>
      <c r="K277" s="4"/>
      <c r="L277" s="4"/>
      <c r="M277" s="4"/>
      <c r="N277" s="4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9"/>
      <c r="BJ277" s="19">
        <f t="shared" si="147"/>
        <v>0</v>
      </c>
      <c r="BK277" s="6"/>
      <c r="BL277" s="6"/>
      <c r="BM277" s="6"/>
      <c r="BN277" s="6"/>
      <c r="BO277" s="6"/>
    </row>
    <row r="278" spans="1:67" ht="13.4" customHeight="1">
      <c r="A278" s="6"/>
      <c r="B278" s="6"/>
      <c r="C278" s="6"/>
      <c r="D278" s="6"/>
      <c r="E278" s="6"/>
      <c r="F278" s="6"/>
      <c r="G278" s="6"/>
      <c r="H278" s="4"/>
      <c r="I278" s="4"/>
      <c r="J278" s="4"/>
      <c r="K278" s="4"/>
      <c r="L278" s="4"/>
      <c r="M278" s="4"/>
      <c r="N278" s="4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9"/>
      <c r="BJ278" s="19">
        <f t="shared" si="147"/>
        <v>0</v>
      </c>
      <c r="BK278" s="6"/>
      <c r="BL278" s="6"/>
      <c r="BM278" s="6"/>
      <c r="BN278" s="6"/>
      <c r="BO278" s="6"/>
    </row>
    <row r="279" spans="1:67" ht="13.4" customHeight="1">
      <c r="A279" s="6"/>
      <c r="B279" s="6"/>
      <c r="C279" s="6"/>
      <c r="D279" s="6"/>
      <c r="E279" s="6"/>
      <c r="F279" s="6"/>
      <c r="G279" s="6"/>
      <c r="H279" s="4"/>
      <c r="I279" s="4"/>
      <c r="J279" s="4"/>
      <c r="K279" s="4"/>
      <c r="L279" s="4"/>
      <c r="M279" s="4"/>
      <c r="N279" s="4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9"/>
      <c r="BJ279" s="19">
        <f t="shared" si="147"/>
        <v>0</v>
      </c>
      <c r="BK279" s="6"/>
      <c r="BL279" s="6"/>
      <c r="BM279" s="6"/>
      <c r="BN279" s="6"/>
      <c r="BO279" s="6"/>
    </row>
    <row r="280" spans="1:67" ht="13.4" customHeight="1">
      <c r="A280" s="6"/>
      <c r="B280" s="6"/>
      <c r="C280" s="6"/>
      <c r="D280" s="6"/>
      <c r="E280" s="6"/>
      <c r="F280" s="6"/>
      <c r="G280" s="6"/>
      <c r="H280" s="4"/>
      <c r="I280" s="4"/>
      <c r="J280" s="4"/>
      <c r="K280" s="4"/>
      <c r="L280" s="4"/>
      <c r="M280" s="4"/>
      <c r="N280" s="4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9"/>
      <c r="BJ280" s="19">
        <f t="shared" si="147"/>
        <v>0</v>
      </c>
      <c r="BK280" s="6"/>
      <c r="BL280" s="6"/>
      <c r="BM280" s="6"/>
      <c r="BN280" s="6"/>
      <c r="BO280" s="6"/>
    </row>
    <row r="281" spans="1:67" ht="13.4" customHeight="1">
      <c r="A281" s="6"/>
      <c r="B281" s="6"/>
      <c r="C281" s="6"/>
      <c r="D281" s="6"/>
      <c r="E281" s="6"/>
      <c r="F281" s="6"/>
      <c r="G281" s="6"/>
      <c r="H281" s="4"/>
      <c r="I281" s="4"/>
      <c r="J281" s="4"/>
      <c r="K281" s="4"/>
      <c r="L281" s="4"/>
      <c r="M281" s="4"/>
      <c r="N281" s="4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9"/>
      <c r="BJ281" s="19">
        <f t="shared" si="147"/>
        <v>0</v>
      </c>
      <c r="BK281" s="6"/>
      <c r="BL281" s="6"/>
      <c r="BM281" s="6"/>
      <c r="BN281" s="6"/>
      <c r="BO281" s="6"/>
    </row>
    <row r="282" spans="1:67" ht="13.4" customHeight="1">
      <c r="A282" s="6"/>
      <c r="B282" s="6"/>
      <c r="C282" s="6"/>
      <c r="D282" s="6"/>
      <c r="E282" s="6"/>
      <c r="F282" s="6"/>
      <c r="G282" s="6"/>
      <c r="H282" s="4"/>
      <c r="I282" s="4"/>
      <c r="J282" s="4"/>
      <c r="K282" s="4"/>
      <c r="L282" s="4"/>
      <c r="M282" s="4"/>
      <c r="N282" s="4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9"/>
      <c r="BJ282" s="19">
        <f t="shared" si="147"/>
        <v>0</v>
      </c>
      <c r="BK282" s="6"/>
      <c r="BL282" s="6"/>
      <c r="BM282" s="6"/>
      <c r="BN282" s="6"/>
      <c r="BO282" s="6"/>
    </row>
    <row r="283" spans="1:67" ht="13.4" customHeight="1">
      <c r="A283" s="6"/>
      <c r="B283" s="6"/>
      <c r="C283" s="6"/>
      <c r="D283" s="6"/>
      <c r="E283" s="6"/>
      <c r="F283" s="6"/>
      <c r="G283" s="6"/>
      <c r="H283" s="4"/>
      <c r="I283" s="4"/>
      <c r="J283" s="4"/>
      <c r="K283" s="4"/>
      <c r="L283" s="4"/>
      <c r="M283" s="4"/>
      <c r="N283" s="4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9"/>
      <c r="BJ283" s="19">
        <f t="shared" si="147"/>
        <v>0</v>
      </c>
      <c r="BK283" s="6"/>
      <c r="BL283" s="6"/>
      <c r="BM283" s="6"/>
      <c r="BN283" s="6"/>
      <c r="BO283" s="6"/>
    </row>
    <row r="284" spans="1:67" ht="13.4" customHeight="1">
      <c r="A284" s="6"/>
      <c r="B284" s="6"/>
      <c r="C284" s="6"/>
      <c r="D284" s="6"/>
      <c r="E284" s="6"/>
      <c r="F284" s="6"/>
      <c r="G284" s="6"/>
      <c r="H284" s="4"/>
      <c r="I284" s="4"/>
      <c r="J284" s="4"/>
      <c r="K284" s="4"/>
      <c r="L284" s="4"/>
      <c r="M284" s="4"/>
      <c r="N284" s="4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9"/>
      <c r="BJ284" s="19">
        <f t="shared" si="147"/>
        <v>0</v>
      </c>
      <c r="BK284" s="6"/>
      <c r="BL284" s="6"/>
      <c r="BM284" s="6"/>
      <c r="BN284" s="6"/>
      <c r="BO284" s="6"/>
    </row>
    <row r="285" spans="1:67" ht="13.4" customHeight="1">
      <c r="A285" s="6"/>
      <c r="B285" s="6"/>
      <c r="C285" s="6"/>
      <c r="D285" s="6"/>
      <c r="E285" s="6"/>
      <c r="F285" s="6"/>
      <c r="G285" s="6"/>
      <c r="H285" s="4"/>
      <c r="I285" s="4"/>
      <c r="J285" s="4"/>
      <c r="K285" s="4"/>
      <c r="L285" s="4"/>
      <c r="M285" s="4"/>
      <c r="N285" s="4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9"/>
      <c r="BJ285" s="19">
        <f t="shared" si="147"/>
        <v>0</v>
      </c>
      <c r="BK285" s="6"/>
      <c r="BL285" s="6"/>
      <c r="BM285" s="6"/>
      <c r="BN285" s="6"/>
      <c r="BO285" s="6"/>
    </row>
    <row r="286" spans="1:67" ht="13.4" customHeight="1">
      <c r="A286" s="6"/>
      <c r="B286" s="6"/>
      <c r="C286" s="6"/>
      <c r="D286" s="6"/>
      <c r="E286" s="6"/>
      <c r="F286" s="6"/>
      <c r="G286" s="6"/>
      <c r="H286" s="4"/>
      <c r="I286" s="4"/>
      <c r="J286" s="4"/>
      <c r="K286" s="4"/>
      <c r="L286" s="4"/>
      <c r="M286" s="4"/>
      <c r="N286" s="4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9"/>
      <c r="BJ286" s="19">
        <f t="shared" si="147"/>
        <v>0</v>
      </c>
      <c r="BK286" s="6"/>
      <c r="BL286" s="6"/>
      <c r="BM286" s="6"/>
      <c r="BN286" s="6"/>
      <c r="BO286" s="6"/>
    </row>
    <row r="287" spans="1:67" ht="13.4" customHeight="1">
      <c r="A287" s="6"/>
      <c r="B287" s="6"/>
      <c r="C287" s="6"/>
      <c r="D287" s="6"/>
      <c r="E287" s="6"/>
      <c r="F287" s="6"/>
      <c r="G287" s="6"/>
      <c r="H287" s="4"/>
      <c r="I287" s="4"/>
      <c r="J287" s="4"/>
      <c r="K287" s="4"/>
      <c r="L287" s="4"/>
      <c r="M287" s="4"/>
      <c r="N287" s="4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9"/>
      <c r="BJ287" s="19">
        <f t="shared" si="147"/>
        <v>0</v>
      </c>
      <c r="BK287" s="6"/>
      <c r="BL287" s="6"/>
      <c r="BM287" s="6"/>
      <c r="BN287" s="6"/>
      <c r="BO287" s="6"/>
    </row>
    <row r="288" spans="1:67" ht="13.4" customHeight="1">
      <c r="A288" s="6"/>
      <c r="B288" s="6"/>
      <c r="C288" s="6"/>
      <c r="D288" s="6"/>
      <c r="E288" s="6"/>
      <c r="F288" s="6"/>
      <c r="G288" s="6"/>
      <c r="H288" s="4"/>
      <c r="I288" s="4"/>
      <c r="J288" s="4"/>
      <c r="K288" s="4"/>
      <c r="L288" s="4"/>
      <c r="M288" s="4"/>
      <c r="N288" s="4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9"/>
      <c r="BJ288" s="19">
        <f t="shared" si="147"/>
        <v>0</v>
      </c>
      <c r="BK288" s="6"/>
      <c r="BL288" s="6"/>
      <c r="BM288" s="6"/>
      <c r="BN288" s="6"/>
      <c r="BO288" s="6"/>
    </row>
    <row r="289" spans="1:67" ht="13.4" customHeight="1">
      <c r="A289" s="6"/>
      <c r="B289" s="6"/>
      <c r="C289" s="6"/>
      <c r="D289" s="6"/>
      <c r="E289" s="6"/>
      <c r="F289" s="6"/>
      <c r="G289" s="6"/>
      <c r="H289" s="4"/>
      <c r="I289" s="4"/>
      <c r="J289" s="4"/>
      <c r="K289" s="4"/>
      <c r="L289" s="4"/>
      <c r="M289" s="4"/>
      <c r="N289" s="4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9"/>
      <c r="BJ289" s="19">
        <f t="shared" si="147"/>
        <v>0</v>
      </c>
      <c r="BK289" s="6"/>
      <c r="BL289" s="6"/>
      <c r="BM289" s="6"/>
      <c r="BN289" s="6"/>
      <c r="BO289" s="6"/>
    </row>
    <row r="290" spans="1:67" ht="13.4" customHeight="1">
      <c r="A290" s="6"/>
      <c r="B290" s="6"/>
      <c r="C290" s="6"/>
      <c r="D290" s="6"/>
      <c r="E290" s="6"/>
      <c r="F290" s="6"/>
      <c r="G290" s="6"/>
      <c r="H290" s="4"/>
      <c r="I290" s="4"/>
      <c r="J290" s="4"/>
      <c r="K290" s="4"/>
      <c r="L290" s="4"/>
      <c r="M290" s="4"/>
      <c r="N290" s="4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9"/>
      <c r="BJ290" s="19">
        <f t="shared" si="147"/>
        <v>0</v>
      </c>
      <c r="BK290" s="6"/>
      <c r="BL290" s="6"/>
      <c r="BM290" s="6"/>
      <c r="BN290" s="6"/>
      <c r="BO290" s="6"/>
    </row>
    <row r="291" spans="1:67" ht="13.4" customHeight="1">
      <c r="A291" s="6"/>
      <c r="B291" s="6"/>
      <c r="C291" s="6"/>
      <c r="D291" s="6"/>
      <c r="E291" s="6"/>
      <c r="F291" s="6"/>
      <c r="G291" s="6"/>
      <c r="H291" s="4"/>
      <c r="I291" s="4"/>
      <c r="J291" s="4"/>
      <c r="K291" s="4"/>
      <c r="L291" s="4"/>
      <c r="M291" s="4"/>
      <c r="N291" s="4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9"/>
      <c r="BJ291" s="19">
        <f t="shared" si="147"/>
        <v>0</v>
      </c>
      <c r="BK291" s="6"/>
      <c r="BL291" s="6"/>
      <c r="BM291" s="6"/>
      <c r="BN291" s="6"/>
      <c r="BO291" s="6"/>
    </row>
    <row r="292" spans="1:67" ht="13.4" customHeight="1">
      <c r="A292" s="6"/>
      <c r="B292" s="6"/>
      <c r="C292" s="6"/>
      <c r="D292" s="6"/>
      <c r="E292" s="6"/>
      <c r="F292" s="6"/>
      <c r="G292" s="6"/>
      <c r="H292" s="4"/>
      <c r="I292" s="4"/>
      <c r="J292" s="4"/>
      <c r="K292" s="4"/>
      <c r="L292" s="4"/>
      <c r="M292" s="4"/>
      <c r="N292" s="4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9"/>
      <c r="BJ292" s="19">
        <f t="shared" si="147"/>
        <v>0</v>
      </c>
      <c r="BK292" s="6"/>
      <c r="BL292" s="6"/>
      <c r="BM292" s="6"/>
      <c r="BN292" s="6"/>
      <c r="BO292" s="6"/>
    </row>
    <row r="293" spans="1:67" ht="13.4" customHeight="1">
      <c r="A293" s="6"/>
      <c r="B293" s="6"/>
      <c r="C293" s="6"/>
      <c r="D293" s="6"/>
      <c r="E293" s="6"/>
      <c r="F293" s="6"/>
      <c r="G293" s="6"/>
      <c r="H293" s="4"/>
      <c r="I293" s="4"/>
      <c r="J293" s="4"/>
      <c r="K293" s="4"/>
      <c r="L293" s="4"/>
      <c r="M293" s="4"/>
      <c r="N293" s="4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9"/>
      <c r="BJ293" s="19">
        <f t="shared" si="147"/>
        <v>0</v>
      </c>
      <c r="BK293" s="6"/>
      <c r="BL293" s="6"/>
      <c r="BM293" s="6"/>
      <c r="BN293" s="6"/>
      <c r="BO293" s="6"/>
    </row>
    <row r="294" spans="1:67" ht="13.4" customHeight="1">
      <c r="A294" s="6"/>
      <c r="B294" s="6"/>
      <c r="C294" s="6"/>
      <c r="D294" s="6"/>
      <c r="E294" s="6"/>
      <c r="F294" s="6"/>
      <c r="G294" s="6"/>
      <c r="H294" s="4"/>
      <c r="I294" s="4"/>
      <c r="J294" s="4"/>
      <c r="K294" s="4"/>
      <c r="L294" s="4"/>
      <c r="M294" s="4"/>
      <c r="N294" s="4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9"/>
      <c r="BJ294" s="19">
        <f t="shared" si="147"/>
        <v>0</v>
      </c>
      <c r="BK294" s="6"/>
      <c r="BL294" s="6"/>
      <c r="BM294" s="6"/>
      <c r="BN294" s="6"/>
      <c r="BO294" s="6"/>
    </row>
    <row r="295" spans="1:67" ht="13.4" customHeight="1">
      <c r="A295" s="6"/>
      <c r="B295" s="6"/>
      <c r="C295" s="6"/>
      <c r="D295" s="6"/>
      <c r="E295" s="6"/>
      <c r="F295" s="6"/>
      <c r="G295" s="6"/>
      <c r="H295" s="4"/>
      <c r="I295" s="4"/>
      <c r="J295" s="4"/>
      <c r="K295" s="4"/>
      <c r="L295" s="4"/>
      <c r="M295" s="4"/>
      <c r="N295" s="4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9"/>
      <c r="BJ295" s="19">
        <f t="shared" si="147"/>
        <v>0</v>
      </c>
      <c r="BK295" s="6"/>
      <c r="BL295" s="6"/>
      <c r="BM295" s="6"/>
      <c r="BN295" s="6"/>
      <c r="BO295" s="6"/>
    </row>
    <row r="296" spans="1:67" ht="13.4" customHeight="1">
      <c r="A296" s="6"/>
      <c r="B296" s="6"/>
      <c r="C296" s="6"/>
      <c r="D296" s="6"/>
      <c r="E296" s="6"/>
      <c r="F296" s="6"/>
      <c r="G296" s="6"/>
      <c r="H296" s="4"/>
      <c r="I296" s="4"/>
      <c r="J296" s="4"/>
      <c r="K296" s="4"/>
      <c r="L296" s="4"/>
      <c r="M296" s="4"/>
      <c r="N296" s="4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9"/>
      <c r="BJ296" s="19">
        <f t="shared" si="147"/>
        <v>0</v>
      </c>
      <c r="BK296" s="6"/>
      <c r="BL296" s="6"/>
      <c r="BM296" s="6"/>
      <c r="BN296" s="6"/>
      <c r="BO296" s="6"/>
    </row>
    <row r="297" spans="1:67" ht="13.4" customHeight="1">
      <c r="A297" s="6"/>
      <c r="B297" s="6"/>
      <c r="C297" s="6"/>
      <c r="D297" s="6"/>
      <c r="E297" s="6"/>
      <c r="F297" s="6"/>
      <c r="G297" s="6"/>
      <c r="H297" s="4"/>
      <c r="I297" s="4"/>
      <c r="J297" s="4"/>
      <c r="K297" s="4"/>
      <c r="L297" s="4"/>
      <c r="M297" s="4"/>
      <c r="N297" s="4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9"/>
      <c r="BJ297" s="19">
        <f t="shared" si="147"/>
        <v>0</v>
      </c>
      <c r="BK297" s="6"/>
      <c r="BL297" s="6"/>
      <c r="BM297" s="6"/>
      <c r="BN297" s="6"/>
      <c r="BO297" s="6"/>
    </row>
    <row r="298" spans="1:67" ht="13.4" customHeight="1">
      <c r="A298" s="6"/>
      <c r="B298" s="6"/>
      <c r="C298" s="6"/>
      <c r="D298" s="6"/>
      <c r="E298" s="6"/>
      <c r="F298" s="6"/>
      <c r="G298" s="6"/>
      <c r="H298" s="4"/>
      <c r="I298" s="4"/>
      <c r="J298" s="4"/>
      <c r="K298" s="4"/>
      <c r="L298" s="4"/>
      <c r="M298" s="4"/>
      <c r="N298" s="4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9"/>
      <c r="BJ298" s="19">
        <f t="shared" si="147"/>
        <v>0</v>
      </c>
      <c r="BK298" s="6"/>
      <c r="BL298" s="6"/>
      <c r="BM298" s="6"/>
      <c r="BN298" s="6"/>
      <c r="BO298" s="6"/>
    </row>
    <row r="299" spans="1:67" ht="13.4" customHeight="1">
      <c r="A299" s="6"/>
      <c r="B299" s="6"/>
      <c r="C299" s="6"/>
      <c r="D299" s="6"/>
      <c r="E299" s="6"/>
      <c r="F299" s="6"/>
      <c r="G299" s="6"/>
      <c r="H299" s="4"/>
      <c r="I299" s="4"/>
      <c r="J299" s="4"/>
      <c r="K299" s="4"/>
      <c r="L299" s="4"/>
      <c r="M299" s="4"/>
      <c r="N299" s="4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9"/>
      <c r="BJ299" s="19">
        <f t="shared" si="147"/>
        <v>0</v>
      </c>
      <c r="BK299" s="6"/>
      <c r="BL299" s="6"/>
      <c r="BM299" s="6"/>
      <c r="BN299" s="6"/>
      <c r="BO299" s="6"/>
    </row>
    <row r="300" spans="1:67" ht="13.4" customHeight="1">
      <c r="A300" s="6"/>
      <c r="B300" s="6"/>
      <c r="C300" s="6"/>
      <c r="D300" s="6"/>
      <c r="E300" s="6"/>
      <c r="F300" s="6"/>
      <c r="G300" s="6"/>
      <c r="H300" s="4"/>
      <c r="I300" s="4"/>
      <c r="J300" s="4"/>
      <c r="K300" s="4"/>
      <c r="L300" s="4"/>
      <c r="M300" s="4"/>
      <c r="N300" s="4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9"/>
      <c r="BJ300" s="19">
        <f t="shared" si="147"/>
        <v>0</v>
      </c>
      <c r="BK300" s="6"/>
      <c r="BL300" s="6"/>
      <c r="BM300" s="6"/>
      <c r="BN300" s="6"/>
      <c r="BO300" s="6"/>
    </row>
    <row r="301" spans="1:67" ht="13.4" customHeight="1">
      <c r="A301" s="6"/>
      <c r="B301" s="6"/>
      <c r="C301" s="6"/>
      <c r="D301" s="6"/>
      <c r="E301" s="6"/>
      <c r="F301" s="6"/>
      <c r="G301" s="6"/>
      <c r="H301" s="4"/>
      <c r="I301" s="4"/>
      <c r="J301" s="4"/>
      <c r="K301" s="4"/>
      <c r="L301" s="4"/>
      <c r="M301" s="4"/>
      <c r="N301" s="4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9"/>
      <c r="BJ301" s="19">
        <f t="shared" si="147"/>
        <v>0</v>
      </c>
      <c r="BK301" s="6"/>
      <c r="BL301" s="6"/>
      <c r="BM301" s="6"/>
      <c r="BN301" s="6"/>
      <c r="BO301" s="6"/>
    </row>
    <row r="302" spans="1:67" ht="13.4" customHeight="1">
      <c r="A302" s="6"/>
      <c r="B302" s="6"/>
      <c r="C302" s="6"/>
      <c r="D302" s="6"/>
      <c r="E302" s="6"/>
      <c r="F302" s="6"/>
      <c r="G302" s="6"/>
      <c r="H302" s="4"/>
      <c r="I302" s="4"/>
      <c r="J302" s="4"/>
      <c r="K302" s="4"/>
      <c r="L302" s="4"/>
      <c r="M302" s="4"/>
      <c r="N302" s="4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9"/>
      <c r="BJ302" s="19">
        <f t="shared" si="147"/>
        <v>0</v>
      </c>
      <c r="BK302" s="6"/>
      <c r="BL302" s="6"/>
      <c r="BM302" s="6"/>
      <c r="BN302" s="6"/>
      <c r="BO302" s="6"/>
    </row>
    <row r="303" spans="1:67" ht="13.4" customHeight="1">
      <c r="A303" s="6"/>
      <c r="B303" s="6"/>
      <c r="C303" s="6"/>
      <c r="D303" s="6"/>
      <c r="E303" s="6"/>
      <c r="F303" s="6"/>
      <c r="G303" s="6"/>
      <c r="H303" s="4"/>
      <c r="I303" s="4"/>
      <c r="J303" s="4"/>
      <c r="K303" s="4"/>
      <c r="L303" s="4"/>
      <c r="M303" s="4"/>
      <c r="N303" s="4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9"/>
      <c r="BJ303" s="19">
        <f t="shared" si="147"/>
        <v>0</v>
      </c>
      <c r="BK303" s="6"/>
      <c r="BL303" s="6"/>
      <c r="BM303" s="6"/>
      <c r="BN303" s="6"/>
      <c r="BO303" s="6"/>
    </row>
    <row r="304" spans="1:67" ht="13.4" customHeight="1">
      <c r="A304" s="6"/>
      <c r="B304" s="6"/>
      <c r="C304" s="6"/>
      <c r="D304" s="6"/>
      <c r="E304" s="6"/>
      <c r="F304" s="6"/>
      <c r="G304" s="6"/>
      <c r="H304" s="4"/>
      <c r="I304" s="4"/>
      <c r="J304" s="4"/>
      <c r="K304" s="4"/>
      <c r="L304" s="4"/>
      <c r="M304" s="4"/>
      <c r="N304" s="4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9"/>
      <c r="BJ304" s="19">
        <f t="shared" si="147"/>
        <v>0</v>
      </c>
      <c r="BK304" s="6"/>
      <c r="BL304" s="6"/>
      <c r="BM304" s="6"/>
      <c r="BN304" s="6"/>
      <c r="BO304" s="6"/>
    </row>
    <row r="305" spans="1:67" ht="13.4" customHeight="1">
      <c r="A305" s="6"/>
      <c r="B305" s="6"/>
      <c r="C305" s="6"/>
      <c r="D305" s="6"/>
      <c r="E305" s="6"/>
      <c r="F305" s="6"/>
      <c r="G305" s="6"/>
      <c r="H305" s="4"/>
      <c r="I305" s="4"/>
      <c r="J305" s="4"/>
      <c r="K305" s="4"/>
      <c r="L305" s="4"/>
      <c r="M305" s="4"/>
      <c r="N305" s="4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9"/>
      <c r="BJ305" s="19">
        <f t="shared" si="147"/>
        <v>0</v>
      </c>
      <c r="BK305" s="6"/>
      <c r="BL305" s="6"/>
      <c r="BM305" s="6"/>
      <c r="BN305" s="6"/>
      <c r="BO305" s="6"/>
    </row>
    <row r="306" spans="1:67" ht="13.4" customHeight="1">
      <c r="A306" s="6"/>
      <c r="B306" s="6"/>
      <c r="C306" s="6"/>
      <c r="D306" s="6"/>
      <c r="E306" s="6"/>
      <c r="F306" s="6"/>
      <c r="G306" s="6"/>
      <c r="H306" s="4"/>
      <c r="I306" s="4"/>
      <c r="J306" s="4"/>
      <c r="K306" s="4"/>
      <c r="L306" s="4"/>
      <c r="M306" s="4"/>
      <c r="N306" s="4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9"/>
      <c r="BJ306" s="19">
        <f t="shared" si="147"/>
        <v>0</v>
      </c>
      <c r="BK306" s="6"/>
      <c r="BL306" s="6"/>
      <c r="BM306" s="6"/>
      <c r="BN306" s="6"/>
      <c r="BO306" s="6"/>
    </row>
    <row r="307" spans="1:67" ht="13.4" customHeight="1">
      <c r="A307" s="6"/>
      <c r="B307" s="6"/>
      <c r="C307" s="6"/>
      <c r="D307" s="6"/>
      <c r="E307" s="6"/>
      <c r="F307" s="6"/>
      <c r="G307" s="6"/>
      <c r="H307" s="4"/>
      <c r="I307" s="4"/>
      <c r="J307" s="4"/>
      <c r="K307" s="4"/>
      <c r="L307" s="4"/>
      <c r="M307" s="4"/>
      <c r="N307" s="4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9"/>
      <c r="BJ307" s="19">
        <f t="shared" si="147"/>
        <v>0</v>
      </c>
      <c r="BK307" s="6"/>
      <c r="BL307" s="6"/>
      <c r="BM307" s="6"/>
      <c r="BN307" s="6"/>
      <c r="BO307" s="6"/>
    </row>
    <row r="308" spans="1:67" ht="13.4" customHeight="1">
      <c r="A308" s="6"/>
      <c r="B308" s="6"/>
      <c r="C308" s="6"/>
      <c r="D308" s="6"/>
      <c r="E308" s="6"/>
      <c r="F308" s="6"/>
      <c r="G308" s="6"/>
      <c r="H308" s="4"/>
      <c r="I308" s="4"/>
      <c r="J308" s="4"/>
      <c r="K308" s="4"/>
      <c r="L308" s="4"/>
      <c r="M308" s="4"/>
      <c r="N308" s="4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9"/>
      <c r="BJ308" s="19">
        <f t="shared" si="147"/>
        <v>0</v>
      </c>
      <c r="BK308" s="6"/>
      <c r="BL308" s="6"/>
      <c r="BM308" s="6"/>
      <c r="BN308" s="6"/>
      <c r="BO308" s="6"/>
    </row>
    <row r="309" spans="1:67" ht="13.4" customHeight="1">
      <c r="A309" s="6"/>
      <c r="B309" s="6"/>
      <c r="C309" s="6"/>
      <c r="D309" s="6"/>
      <c r="E309" s="6"/>
      <c r="F309" s="6"/>
      <c r="G309" s="6"/>
      <c r="H309" s="4"/>
      <c r="I309" s="4"/>
      <c r="J309" s="4"/>
      <c r="K309" s="4"/>
      <c r="L309" s="4"/>
      <c r="M309" s="4"/>
      <c r="N309" s="4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9"/>
      <c r="BJ309" s="19">
        <f t="shared" si="147"/>
        <v>0</v>
      </c>
      <c r="BK309" s="6"/>
      <c r="BL309" s="6"/>
      <c r="BM309" s="6"/>
      <c r="BN309" s="6"/>
      <c r="BO309" s="6"/>
    </row>
    <row r="310" spans="1:67" ht="13.4" customHeight="1">
      <c r="A310" s="6"/>
      <c r="B310" s="6"/>
      <c r="C310" s="6"/>
      <c r="D310" s="6"/>
      <c r="E310" s="6"/>
      <c r="F310" s="6"/>
      <c r="G310" s="6"/>
      <c r="H310" s="4"/>
      <c r="I310" s="4"/>
      <c r="J310" s="4"/>
      <c r="K310" s="4"/>
      <c r="L310" s="4"/>
      <c r="M310" s="4"/>
      <c r="N310" s="4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9"/>
      <c r="BJ310" s="19">
        <f t="shared" si="147"/>
        <v>0</v>
      </c>
      <c r="BK310" s="6"/>
      <c r="BL310" s="6"/>
      <c r="BM310" s="6"/>
      <c r="BN310" s="6"/>
      <c r="BO310" s="6"/>
    </row>
    <row r="311" spans="1:67" ht="13.4" customHeight="1">
      <c r="A311" s="6"/>
      <c r="B311" s="6"/>
      <c r="C311" s="6"/>
      <c r="D311" s="6"/>
      <c r="E311" s="6"/>
      <c r="F311" s="6"/>
      <c r="G311" s="6"/>
      <c r="H311" s="4"/>
      <c r="I311" s="4"/>
      <c r="J311" s="4"/>
      <c r="K311" s="4"/>
      <c r="L311" s="4"/>
      <c r="M311" s="4"/>
      <c r="N311" s="4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9"/>
      <c r="BJ311" s="19">
        <f t="shared" si="147"/>
        <v>0</v>
      </c>
      <c r="BK311" s="6"/>
      <c r="BL311" s="6"/>
      <c r="BM311" s="6"/>
      <c r="BN311" s="6"/>
      <c r="BO311" s="6"/>
    </row>
    <row r="312" spans="1:67" ht="13.4" customHeight="1">
      <c r="A312" s="6"/>
      <c r="B312" s="6"/>
      <c r="C312" s="6"/>
      <c r="D312" s="6"/>
      <c r="E312" s="6"/>
      <c r="F312" s="6"/>
      <c r="G312" s="6"/>
      <c r="H312" s="4"/>
      <c r="I312" s="4"/>
      <c r="J312" s="4"/>
      <c r="K312" s="4"/>
      <c r="L312" s="4"/>
      <c r="M312" s="4"/>
      <c r="N312" s="4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9"/>
      <c r="BJ312" s="19">
        <f t="shared" si="147"/>
        <v>0</v>
      </c>
      <c r="BK312" s="6"/>
      <c r="BL312" s="6"/>
      <c r="BM312" s="6"/>
      <c r="BN312" s="6"/>
      <c r="BO312" s="6"/>
    </row>
    <row r="313" spans="1:67" ht="13.4" customHeight="1">
      <c r="A313" s="6"/>
      <c r="B313" s="6"/>
      <c r="C313" s="6"/>
      <c r="D313" s="6"/>
      <c r="E313" s="6"/>
      <c r="F313" s="6"/>
      <c r="G313" s="6"/>
      <c r="H313" s="4"/>
      <c r="I313" s="4"/>
      <c r="J313" s="4"/>
      <c r="K313" s="4"/>
      <c r="L313" s="4"/>
      <c r="M313" s="4"/>
      <c r="N313" s="4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9"/>
      <c r="BJ313" s="19">
        <f t="shared" si="147"/>
        <v>0</v>
      </c>
      <c r="BK313" s="6"/>
      <c r="BL313" s="6"/>
      <c r="BM313" s="6"/>
      <c r="BN313" s="6"/>
      <c r="BO313" s="6"/>
    </row>
    <row r="314" spans="1:67" ht="13.4" customHeight="1">
      <c r="A314" s="6"/>
      <c r="B314" s="6"/>
      <c r="C314" s="6"/>
      <c r="D314" s="6"/>
      <c r="E314" s="6"/>
      <c r="F314" s="6"/>
      <c r="G314" s="6"/>
      <c r="H314" s="4"/>
      <c r="I314" s="4"/>
      <c r="J314" s="4"/>
      <c r="K314" s="4"/>
      <c r="L314" s="4"/>
      <c r="M314" s="4"/>
      <c r="N314" s="4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9"/>
      <c r="BJ314" s="19">
        <f t="shared" si="147"/>
        <v>0</v>
      </c>
      <c r="BK314" s="6"/>
      <c r="BL314" s="6"/>
      <c r="BM314" s="6"/>
      <c r="BN314" s="6"/>
      <c r="BO314" s="6"/>
    </row>
    <row r="315" spans="1:67" ht="13.4" customHeight="1">
      <c r="A315" s="6"/>
      <c r="B315" s="6"/>
      <c r="C315" s="6"/>
      <c r="D315" s="6"/>
      <c r="E315" s="6"/>
      <c r="F315" s="6"/>
      <c r="G315" s="6"/>
      <c r="H315" s="4"/>
      <c r="I315" s="4"/>
      <c r="J315" s="4"/>
      <c r="K315" s="4"/>
      <c r="L315" s="4"/>
      <c r="M315" s="4"/>
      <c r="N315" s="4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9"/>
      <c r="BJ315" s="19">
        <f t="shared" si="147"/>
        <v>0</v>
      </c>
      <c r="BK315" s="6"/>
      <c r="BL315" s="6"/>
      <c r="BM315" s="6"/>
      <c r="BN315" s="6"/>
      <c r="BO315" s="6"/>
    </row>
    <row r="316" spans="1:67" ht="13.4" customHeight="1">
      <c r="A316" s="6"/>
      <c r="B316" s="6"/>
      <c r="C316" s="6"/>
      <c r="D316" s="6"/>
      <c r="E316" s="6"/>
      <c r="F316" s="6"/>
      <c r="G316" s="6"/>
      <c r="H316" s="4"/>
      <c r="I316" s="4"/>
      <c r="J316" s="4"/>
      <c r="K316" s="4"/>
      <c r="L316" s="4"/>
      <c r="M316" s="4"/>
      <c r="N316" s="4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9"/>
      <c r="BJ316" s="19">
        <f t="shared" si="147"/>
        <v>0</v>
      </c>
      <c r="BK316" s="6"/>
      <c r="BL316" s="6"/>
      <c r="BM316" s="6"/>
      <c r="BN316" s="6"/>
      <c r="BO316" s="6"/>
    </row>
    <row r="317" spans="1:67" ht="13.4" customHeight="1">
      <c r="A317" s="6"/>
      <c r="B317" s="6"/>
      <c r="C317" s="6"/>
      <c r="D317" s="6"/>
      <c r="E317" s="6"/>
      <c r="F317" s="6"/>
      <c r="G317" s="6"/>
      <c r="H317" s="4"/>
      <c r="I317" s="4"/>
      <c r="J317" s="4"/>
      <c r="K317" s="4"/>
      <c r="L317" s="4"/>
      <c r="M317" s="4"/>
      <c r="N317" s="4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9"/>
      <c r="BJ317" s="19">
        <f t="shared" si="147"/>
        <v>0</v>
      </c>
      <c r="BK317" s="6"/>
      <c r="BL317" s="6"/>
      <c r="BM317" s="6"/>
      <c r="BN317" s="6"/>
      <c r="BO317" s="6"/>
    </row>
    <row r="318" spans="1:67" ht="13.4" customHeight="1">
      <c r="A318" s="6"/>
      <c r="B318" s="6"/>
      <c r="C318" s="6"/>
      <c r="D318" s="6"/>
      <c r="E318" s="6"/>
      <c r="F318" s="6"/>
      <c r="G318" s="6"/>
      <c r="H318" s="4"/>
      <c r="I318" s="4"/>
      <c r="J318" s="4"/>
      <c r="K318" s="4"/>
      <c r="L318" s="4"/>
      <c r="M318" s="4"/>
      <c r="N318" s="4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9"/>
      <c r="BJ318" s="19">
        <f t="shared" si="147"/>
        <v>0</v>
      </c>
      <c r="BK318" s="6"/>
      <c r="BL318" s="6"/>
      <c r="BM318" s="6"/>
      <c r="BN318" s="6"/>
      <c r="BO318" s="6"/>
    </row>
    <row r="319" spans="1:67" ht="13.4" customHeight="1">
      <c r="A319" s="6"/>
      <c r="B319" s="6"/>
      <c r="C319" s="6"/>
      <c r="D319" s="6"/>
      <c r="E319" s="6"/>
      <c r="F319" s="6"/>
      <c r="G319" s="6"/>
      <c r="H319" s="4"/>
      <c r="I319" s="4"/>
      <c r="J319" s="4"/>
      <c r="K319" s="4"/>
      <c r="L319" s="4"/>
      <c r="M319" s="4"/>
      <c r="N319" s="4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9"/>
      <c r="BJ319" s="19">
        <f t="shared" si="147"/>
        <v>0</v>
      </c>
      <c r="BK319" s="6"/>
      <c r="BL319" s="6"/>
      <c r="BM319" s="6"/>
      <c r="BN319" s="6"/>
      <c r="BO319" s="6"/>
    </row>
    <row r="320" spans="1:67" ht="13.4" customHeight="1">
      <c r="A320" s="6"/>
      <c r="B320" s="6"/>
      <c r="C320" s="6"/>
      <c r="D320" s="6"/>
      <c r="E320" s="6"/>
      <c r="F320" s="6"/>
      <c r="G320" s="6"/>
      <c r="H320" s="4"/>
      <c r="I320" s="4"/>
      <c r="J320" s="4"/>
      <c r="K320" s="4"/>
      <c r="L320" s="4"/>
      <c r="M320" s="4"/>
      <c r="N320" s="4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9"/>
      <c r="BJ320" s="19">
        <f t="shared" si="147"/>
        <v>0</v>
      </c>
      <c r="BK320" s="6"/>
      <c r="BL320" s="6"/>
      <c r="BM320" s="6"/>
      <c r="BN320" s="6"/>
      <c r="BO320" s="6"/>
    </row>
    <row r="321" spans="1:67" ht="13.4" customHeight="1">
      <c r="A321" s="6"/>
      <c r="B321" s="6"/>
      <c r="C321" s="6"/>
      <c r="D321" s="6"/>
      <c r="E321" s="6"/>
      <c r="F321" s="6"/>
      <c r="G321" s="6"/>
      <c r="H321" s="4"/>
      <c r="I321" s="4"/>
      <c r="J321" s="4"/>
      <c r="K321" s="4"/>
      <c r="L321" s="4"/>
      <c r="M321" s="4"/>
      <c r="N321" s="4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9"/>
      <c r="BJ321" s="19">
        <f t="shared" si="147"/>
        <v>0</v>
      </c>
      <c r="BK321" s="6"/>
      <c r="BL321" s="6"/>
      <c r="BM321" s="6"/>
      <c r="BN321" s="6"/>
      <c r="BO321" s="6"/>
    </row>
    <row r="322" spans="1:67" ht="13.4" customHeight="1">
      <c r="A322" s="6"/>
      <c r="B322" s="6"/>
      <c r="C322" s="6"/>
      <c r="D322" s="6"/>
      <c r="E322" s="6"/>
      <c r="F322" s="6"/>
      <c r="G322" s="6"/>
      <c r="H322" s="4"/>
      <c r="I322" s="4"/>
      <c r="J322" s="4"/>
      <c r="K322" s="4"/>
      <c r="L322" s="4"/>
      <c r="M322" s="4"/>
      <c r="N322" s="4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9"/>
      <c r="BJ322" s="19">
        <f t="shared" si="147"/>
        <v>0</v>
      </c>
      <c r="BK322" s="6"/>
      <c r="BL322" s="6"/>
      <c r="BM322" s="6"/>
      <c r="BN322" s="6"/>
      <c r="BO322" s="6"/>
    </row>
    <row r="323" spans="1:67" ht="13.4" customHeight="1">
      <c r="A323" s="6"/>
      <c r="B323" s="6"/>
      <c r="C323" s="6"/>
      <c r="D323" s="6"/>
      <c r="E323" s="6"/>
      <c r="F323" s="6"/>
      <c r="G323" s="6"/>
      <c r="H323" s="4"/>
      <c r="I323" s="4"/>
      <c r="J323" s="4"/>
      <c r="K323" s="4"/>
      <c r="L323" s="4"/>
      <c r="M323" s="4"/>
      <c r="N323" s="4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9"/>
      <c r="BJ323" s="19">
        <f t="shared" ref="BJ323:BJ386" si="148">A323</f>
        <v>0</v>
      </c>
      <c r="BK323" s="6"/>
      <c r="BL323" s="6"/>
      <c r="BM323" s="6"/>
      <c r="BN323" s="6"/>
      <c r="BO323" s="6"/>
    </row>
    <row r="324" spans="1:67" ht="13.4" customHeight="1">
      <c r="A324" s="6"/>
      <c r="B324" s="6"/>
      <c r="C324" s="6"/>
      <c r="D324" s="6"/>
      <c r="E324" s="6"/>
      <c r="F324" s="6"/>
      <c r="G324" s="6"/>
      <c r="H324" s="4"/>
      <c r="I324" s="4"/>
      <c r="J324" s="4"/>
      <c r="K324" s="4"/>
      <c r="L324" s="4"/>
      <c r="M324" s="4"/>
      <c r="N324" s="4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9"/>
      <c r="BJ324" s="19">
        <f t="shared" si="148"/>
        <v>0</v>
      </c>
      <c r="BK324" s="6"/>
      <c r="BL324" s="6"/>
      <c r="BM324" s="6"/>
      <c r="BN324" s="6"/>
      <c r="BO324" s="6"/>
    </row>
    <row r="325" spans="1:67" ht="13.4" customHeight="1">
      <c r="A325" s="6"/>
      <c r="B325" s="6"/>
      <c r="C325" s="6"/>
      <c r="D325" s="6"/>
      <c r="E325" s="6"/>
      <c r="F325" s="6"/>
      <c r="G325" s="6"/>
      <c r="H325" s="4"/>
      <c r="I325" s="4"/>
      <c r="J325" s="4"/>
      <c r="K325" s="4"/>
      <c r="L325" s="4"/>
      <c r="M325" s="4"/>
      <c r="N325" s="4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9"/>
      <c r="BJ325" s="19">
        <f t="shared" si="148"/>
        <v>0</v>
      </c>
      <c r="BK325" s="6"/>
      <c r="BL325" s="6"/>
      <c r="BM325" s="6"/>
      <c r="BN325" s="6"/>
      <c r="BO325" s="6"/>
    </row>
    <row r="326" spans="1:67" ht="13.4" customHeight="1">
      <c r="A326" s="6"/>
      <c r="B326" s="6"/>
      <c r="C326" s="6"/>
      <c r="D326" s="6"/>
      <c r="E326" s="6"/>
      <c r="F326" s="6"/>
      <c r="G326" s="6"/>
      <c r="H326" s="4"/>
      <c r="I326" s="4"/>
      <c r="J326" s="4"/>
      <c r="K326" s="4"/>
      <c r="L326" s="4"/>
      <c r="M326" s="4"/>
      <c r="N326" s="4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9"/>
      <c r="BJ326" s="19">
        <f t="shared" si="148"/>
        <v>0</v>
      </c>
      <c r="BK326" s="6"/>
      <c r="BL326" s="6"/>
      <c r="BM326" s="6"/>
      <c r="BN326" s="6"/>
      <c r="BO326" s="6"/>
    </row>
    <row r="327" spans="1:67" ht="13.4" customHeight="1">
      <c r="A327" s="6"/>
      <c r="B327" s="6"/>
      <c r="C327" s="6"/>
      <c r="D327" s="6"/>
      <c r="E327" s="6"/>
      <c r="F327" s="6"/>
      <c r="G327" s="6"/>
      <c r="H327" s="4"/>
      <c r="I327" s="4"/>
      <c r="J327" s="4"/>
      <c r="K327" s="4"/>
      <c r="L327" s="4"/>
      <c r="M327" s="4"/>
      <c r="N327" s="4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9"/>
      <c r="BJ327" s="19">
        <f t="shared" si="148"/>
        <v>0</v>
      </c>
      <c r="BK327" s="6"/>
      <c r="BL327" s="6"/>
      <c r="BM327" s="6"/>
      <c r="BN327" s="6"/>
      <c r="BO327" s="6"/>
    </row>
    <row r="328" spans="1:67" ht="13.4" customHeight="1">
      <c r="A328" s="6"/>
      <c r="B328" s="6"/>
      <c r="C328" s="6"/>
      <c r="D328" s="6"/>
      <c r="E328" s="6"/>
      <c r="F328" s="6"/>
      <c r="G328" s="6"/>
      <c r="H328" s="4"/>
      <c r="I328" s="4"/>
      <c r="J328" s="4"/>
      <c r="K328" s="4"/>
      <c r="L328" s="4"/>
      <c r="M328" s="4"/>
      <c r="N328" s="4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9"/>
      <c r="BJ328" s="19">
        <f t="shared" si="148"/>
        <v>0</v>
      </c>
      <c r="BK328" s="6"/>
      <c r="BL328" s="6"/>
      <c r="BM328" s="6"/>
      <c r="BN328" s="6"/>
      <c r="BO328" s="6"/>
    </row>
    <row r="329" spans="1:67" ht="13.4" customHeight="1">
      <c r="A329" s="6"/>
      <c r="B329" s="6"/>
      <c r="C329" s="6"/>
      <c r="D329" s="6"/>
      <c r="E329" s="6"/>
      <c r="F329" s="6"/>
      <c r="G329" s="6"/>
      <c r="H329" s="4"/>
      <c r="I329" s="4"/>
      <c r="J329" s="4"/>
      <c r="K329" s="4"/>
      <c r="L329" s="4"/>
      <c r="M329" s="4"/>
      <c r="N329" s="4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9"/>
      <c r="BJ329" s="19">
        <f t="shared" si="148"/>
        <v>0</v>
      </c>
      <c r="BK329" s="6"/>
      <c r="BL329" s="6"/>
      <c r="BM329" s="6"/>
      <c r="BN329" s="6"/>
      <c r="BO329" s="6"/>
    </row>
    <row r="330" spans="1:67" ht="13.4" customHeight="1">
      <c r="A330" s="6"/>
      <c r="B330" s="6"/>
      <c r="C330" s="6"/>
      <c r="D330" s="6"/>
      <c r="E330" s="6"/>
      <c r="F330" s="6"/>
      <c r="G330" s="6"/>
      <c r="H330" s="4"/>
      <c r="I330" s="4"/>
      <c r="J330" s="4"/>
      <c r="K330" s="4"/>
      <c r="L330" s="4"/>
      <c r="M330" s="4"/>
      <c r="N330" s="4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9"/>
      <c r="BJ330" s="19">
        <f t="shared" si="148"/>
        <v>0</v>
      </c>
      <c r="BK330" s="6"/>
      <c r="BL330" s="6"/>
      <c r="BM330" s="6"/>
      <c r="BN330" s="6"/>
      <c r="BO330" s="6"/>
    </row>
    <row r="331" spans="1:67" ht="13.4" customHeight="1">
      <c r="A331" s="6"/>
      <c r="B331" s="6"/>
      <c r="C331" s="6"/>
      <c r="D331" s="6"/>
      <c r="E331" s="6"/>
      <c r="F331" s="6"/>
      <c r="G331" s="6"/>
      <c r="H331" s="4"/>
      <c r="I331" s="4"/>
      <c r="J331" s="4"/>
      <c r="K331" s="4"/>
      <c r="L331" s="4"/>
      <c r="M331" s="4"/>
      <c r="N331" s="4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9"/>
      <c r="BJ331" s="19">
        <f t="shared" si="148"/>
        <v>0</v>
      </c>
      <c r="BK331" s="6"/>
      <c r="BL331" s="6"/>
      <c r="BM331" s="6"/>
      <c r="BN331" s="6"/>
      <c r="BO331" s="6"/>
    </row>
    <row r="332" spans="1:67" ht="13.4" customHeight="1">
      <c r="A332" s="6"/>
      <c r="B332" s="6"/>
      <c r="C332" s="6"/>
      <c r="D332" s="6"/>
      <c r="E332" s="6"/>
      <c r="F332" s="6"/>
      <c r="G332" s="6"/>
      <c r="H332" s="4"/>
      <c r="I332" s="4"/>
      <c r="J332" s="4"/>
      <c r="K332" s="4"/>
      <c r="L332" s="4"/>
      <c r="M332" s="4"/>
      <c r="N332" s="4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9"/>
      <c r="BJ332" s="19">
        <f t="shared" si="148"/>
        <v>0</v>
      </c>
      <c r="BK332" s="6"/>
      <c r="BL332" s="6"/>
      <c r="BM332" s="6"/>
      <c r="BN332" s="6"/>
      <c r="BO332" s="6"/>
    </row>
    <row r="333" spans="1:67" ht="13.4" customHeight="1">
      <c r="A333" s="6"/>
      <c r="B333" s="6"/>
      <c r="C333" s="6"/>
      <c r="D333" s="6"/>
      <c r="E333" s="6"/>
      <c r="F333" s="6"/>
      <c r="G333" s="6"/>
      <c r="H333" s="4"/>
      <c r="I333" s="4"/>
      <c r="J333" s="4"/>
      <c r="K333" s="4"/>
      <c r="L333" s="4"/>
      <c r="M333" s="4"/>
      <c r="N333" s="4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9"/>
      <c r="BJ333" s="19">
        <f t="shared" si="148"/>
        <v>0</v>
      </c>
      <c r="BK333" s="6"/>
      <c r="BL333" s="6"/>
      <c r="BM333" s="6"/>
      <c r="BN333" s="6"/>
      <c r="BO333" s="6"/>
    </row>
    <row r="334" spans="1:67" ht="13.4" customHeight="1">
      <c r="A334" s="6"/>
      <c r="B334" s="6"/>
      <c r="C334" s="6"/>
      <c r="D334" s="6"/>
      <c r="E334" s="6"/>
      <c r="F334" s="6"/>
      <c r="G334" s="6"/>
      <c r="H334" s="4"/>
      <c r="I334" s="4"/>
      <c r="J334" s="4"/>
      <c r="K334" s="4"/>
      <c r="L334" s="4"/>
      <c r="M334" s="4"/>
      <c r="N334" s="4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9"/>
      <c r="BJ334" s="19">
        <f t="shared" si="148"/>
        <v>0</v>
      </c>
      <c r="BK334" s="6"/>
      <c r="BL334" s="6"/>
      <c r="BM334" s="6"/>
      <c r="BN334" s="6"/>
      <c r="BO334" s="6"/>
    </row>
    <row r="335" spans="1:67" ht="13.4" customHeight="1">
      <c r="A335" s="6"/>
      <c r="B335" s="6"/>
      <c r="C335" s="6"/>
      <c r="D335" s="6"/>
      <c r="E335" s="6"/>
      <c r="F335" s="6"/>
      <c r="G335" s="6"/>
      <c r="H335" s="4"/>
      <c r="I335" s="4"/>
      <c r="J335" s="4"/>
      <c r="K335" s="4"/>
      <c r="L335" s="4"/>
      <c r="M335" s="4"/>
      <c r="N335" s="4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9"/>
      <c r="BJ335" s="19">
        <f t="shared" si="148"/>
        <v>0</v>
      </c>
      <c r="BK335" s="6"/>
      <c r="BL335" s="6"/>
      <c r="BM335" s="6"/>
      <c r="BN335" s="6"/>
      <c r="BO335" s="6"/>
    </row>
    <row r="336" spans="1:67" ht="13.4" customHeight="1">
      <c r="A336" s="6"/>
      <c r="B336" s="6"/>
      <c r="C336" s="6"/>
      <c r="D336" s="6"/>
      <c r="E336" s="6"/>
      <c r="F336" s="6"/>
      <c r="G336" s="6"/>
      <c r="H336" s="4"/>
      <c r="I336" s="4"/>
      <c r="J336" s="4"/>
      <c r="K336" s="4"/>
      <c r="L336" s="4"/>
      <c r="M336" s="4"/>
      <c r="N336" s="4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9"/>
      <c r="BJ336" s="19">
        <f t="shared" si="148"/>
        <v>0</v>
      </c>
      <c r="BK336" s="6"/>
      <c r="BL336" s="6"/>
      <c r="BM336" s="6"/>
      <c r="BN336" s="6"/>
      <c r="BO336" s="6"/>
    </row>
    <row r="337" spans="1:67" ht="13.4" customHeight="1">
      <c r="A337" s="6"/>
      <c r="B337" s="6"/>
      <c r="C337" s="6"/>
      <c r="D337" s="6"/>
      <c r="E337" s="6"/>
      <c r="F337" s="6"/>
      <c r="G337" s="6"/>
      <c r="H337" s="4"/>
      <c r="I337" s="4"/>
      <c r="J337" s="4"/>
      <c r="K337" s="4"/>
      <c r="L337" s="4"/>
      <c r="M337" s="4"/>
      <c r="N337" s="4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9"/>
      <c r="BJ337" s="19">
        <f t="shared" si="148"/>
        <v>0</v>
      </c>
      <c r="BK337" s="6"/>
      <c r="BL337" s="6"/>
      <c r="BM337" s="6"/>
      <c r="BN337" s="6"/>
      <c r="BO337" s="6"/>
    </row>
    <row r="338" spans="1:67" ht="13.4" customHeight="1">
      <c r="A338" s="6"/>
      <c r="B338" s="6"/>
      <c r="C338" s="6"/>
      <c r="D338" s="6"/>
      <c r="E338" s="6"/>
      <c r="F338" s="6"/>
      <c r="G338" s="6"/>
      <c r="H338" s="4"/>
      <c r="I338" s="4"/>
      <c r="J338" s="4"/>
      <c r="K338" s="4"/>
      <c r="L338" s="4"/>
      <c r="M338" s="4"/>
      <c r="N338" s="4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9"/>
      <c r="BJ338" s="19">
        <f t="shared" si="148"/>
        <v>0</v>
      </c>
      <c r="BK338" s="6"/>
      <c r="BL338" s="6"/>
      <c r="BM338" s="6"/>
      <c r="BN338" s="6"/>
      <c r="BO338" s="6"/>
    </row>
    <row r="339" spans="1:67" ht="13.4" customHeight="1">
      <c r="A339" s="6"/>
      <c r="B339" s="6"/>
      <c r="C339" s="6"/>
      <c r="D339" s="6"/>
      <c r="E339" s="6"/>
      <c r="F339" s="6"/>
      <c r="G339" s="6"/>
      <c r="H339" s="4"/>
      <c r="I339" s="4"/>
      <c r="J339" s="4"/>
      <c r="K339" s="4"/>
      <c r="L339" s="4"/>
      <c r="M339" s="4"/>
      <c r="N339" s="4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9"/>
      <c r="BJ339" s="19">
        <f t="shared" si="148"/>
        <v>0</v>
      </c>
      <c r="BK339" s="6"/>
      <c r="BL339" s="6"/>
      <c r="BM339" s="6"/>
      <c r="BN339" s="6"/>
      <c r="BO339" s="6"/>
    </row>
    <row r="340" spans="1:67" ht="13.4" customHeight="1">
      <c r="A340" s="6"/>
      <c r="B340" s="6"/>
      <c r="C340" s="6"/>
      <c r="D340" s="6"/>
      <c r="E340" s="6"/>
      <c r="F340" s="6"/>
      <c r="G340" s="6"/>
      <c r="H340" s="4"/>
      <c r="I340" s="4"/>
      <c r="J340" s="4"/>
      <c r="K340" s="4"/>
      <c r="L340" s="4"/>
      <c r="M340" s="4"/>
      <c r="N340" s="4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9"/>
      <c r="BJ340" s="19">
        <f t="shared" si="148"/>
        <v>0</v>
      </c>
      <c r="BK340" s="6"/>
      <c r="BL340" s="6"/>
      <c r="BM340" s="6"/>
      <c r="BN340" s="6"/>
      <c r="BO340" s="6"/>
    </row>
    <row r="341" spans="1:67" ht="13.4" customHeight="1">
      <c r="A341" s="6"/>
      <c r="B341" s="6"/>
      <c r="C341" s="6"/>
      <c r="D341" s="6"/>
      <c r="E341" s="6"/>
      <c r="F341" s="6"/>
      <c r="G341" s="6"/>
      <c r="H341" s="4"/>
      <c r="I341" s="4"/>
      <c r="J341" s="4"/>
      <c r="K341" s="4"/>
      <c r="L341" s="4"/>
      <c r="M341" s="4"/>
      <c r="N341" s="4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9"/>
      <c r="BJ341" s="19">
        <f t="shared" si="148"/>
        <v>0</v>
      </c>
      <c r="BK341" s="6"/>
      <c r="BL341" s="6"/>
      <c r="BM341" s="6"/>
      <c r="BN341" s="6"/>
      <c r="BO341" s="6"/>
    </row>
    <row r="342" spans="1:67" ht="13.4" customHeight="1">
      <c r="A342" s="6"/>
      <c r="B342" s="6"/>
      <c r="C342" s="6"/>
      <c r="D342" s="6"/>
      <c r="E342" s="6"/>
      <c r="F342" s="6"/>
      <c r="G342" s="6"/>
      <c r="H342" s="4"/>
      <c r="I342" s="4"/>
      <c r="J342" s="4"/>
      <c r="K342" s="4"/>
      <c r="L342" s="4"/>
      <c r="M342" s="4"/>
      <c r="N342" s="4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9"/>
      <c r="BJ342" s="19">
        <f t="shared" si="148"/>
        <v>0</v>
      </c>
      <c r="BK342" s="6"/>
      <c r="BL342" s="6"/>
      <c r="BM342" s="6"/>
      <c r="BN342" s="6"/>
      <c r="BO342" s="6"/>
    </row>
    <row r="343" spans="1:67" ht="13.4" customHeight="1">
      <c r="A343" s="6"/>
      <c r="B343" s="6"/>
      <c r="C343" s="6"/>
      <c r="D343" s="6"/>
      <c r="E343" s="6"/>
      <c r="F343" s="6"/>
      <c r="G343" s="6"/>
      <c r="H343" s="4"/>
      <c r="I343" s="4"/>
      <c r="J343" s="4"/>
      <c r="K343" s="4"/>
      <c r="L343" s="4"/>
      <c r="M343" s="4"/>
      <c r="N343" s="4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9"/>
      <c r="BJ343" s="19">
        <f t="shared" si="148"/>
        <v>0</v>
      </c>
      <c r="BK343" s="6"/>
      <c r="BL343" s="6"/>
      <c r="BM343" s="6"/>
      <c r="BN343" s="6"/>
      <c r="BO343" s="6"/>
    </row>
    <row r="344" spans="1:67" ht="13.4" customHeight="1">
      <c r="A344" s="6"/>
      <c r="B344" s="6"/>
      <c r="C344" s="6"/>
      <c r="D344" s="6"/>
      <c r="E344" s="6"/>
      <c r="F344" s="6"/>
      <c r="G344" s="6"/>
      <c r="H344" s="4"/>
      <c r="I344" s="4"/>
      <c r="J344" s="4"/>
      <c r="K344" s="4"/>
      <c r="L344" s="4"/>
      <c r="M344" s="4"/>
      <c r="N344" s="4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9"/>
      <c r="BJ344" s="19">
        <f t="shared" si="148"/>
        <v>0</v>
      </c>
      <c r="BK344" s="6"/>
      <c r="BL344" s="6"/>
      <c r="BM344" s="6"/>
      <c r="BN344" s="6"/>
      <c r="BO344" s="6"/>
    </row>
    <row r="345" spans="1:67" ht="13.4" customHeight="1">
      <c r="A345" s="6"/>
      <c r="B345" s="6"/>
      <c r="C345" s="6"/>
      <c r="D345" s="6"/>
      <c r="E345" s="6"/>
      <c r="F345" s="6"/>
      <c r="G345" s="6"/>
      <c r="H345" s="4"/>
      <c r="I345" s="4"/>
      <c r="J345" s="4"/>
      <c r="K345" s="4"/>
      <c r="L345" s="4"/>
      <c r="M345" s="4"/>
      <c r="N345" s="4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9"/>
      <c r="BJ345" s="19">
        <f t="shared" si="148"/>
        <v>0</v>
      </c>
      <c r="BK345" s="6"/>
      <c r="BL345" s="6"/>
      <c r="BM345" s="6"/>
      <c r="BN345" s="6"/>
      <c r="BO345" s="6"/>
    </row>
    <row r="346" spans="1:67" ht="13.4" customHeight="1">
      <c r="A346" s="6"/>
      <c r="B346" s="6"/>
      <c r="C346" s="6"/>
      <c r="D346" s="6"/>
      <c r="E346" s="6"/>
      <c r="F346" s="6"/>
      <c r="G346" s="6"/>
      <c r="H346" s="4"/>
      <c r="I346" s="4"/>
      <c r="J346" s="4"/>
      <c r="K346" s="4"/>
      <c r="L346" s="4"/>
      <c r="M346" s="4"/>
      <c r="N346" s="4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9"/>
      <c r="BJ346" s="19">
        <f t="shared" si="148"/>
        <v>0</v>
      </c>
      <c r="BK346" s="6"/>
      <c r="BL346" s="6"/>
      <c r="BM346" s="6"/>
      <c r="BN346" s="6"/>
      <c r="BO346" s="6"/>
    </row>
    <row r="347" spans="1:67" ht="13.4" customHeight="1">
      <c r="A347" s="6"/>
      <c r="B347" s="6"/>
      <c r="C347" s="6"/>
      <c r="D347" s="6"/>
      <c r="E347" s="6"/>
      <c r="F347" s="6"/>
      <c r="G347" s="6"/>
      <c r="H347" s="4"/>
      <c r="I347" s="4"/>
      <c r="J347" s="4"/>
      <c r="K347" s="4"/>
      <c r="L347" s="4"/>
      <c r="M347" s="4"/>
      <c r="N347" s="4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9"/>
      <c r="BJ347" s="19">
        <f t="shared" si="148"/>
        <v>0</v>
      </c>
      <c r="BK347" s="6"/>
      <c r="BL347" s="6"/>
      <c r="BM347" s="6"/>
      <c r="BN347" s="6"/>
      <c r="BO347" s="6"/>
    </row>
    <row r="348" spans="1:67" ht="13.4" customHeight="1">
      <c r="A348" s="6"/>
      <c r="B348" s="6"/>
      <c r="C348" s="6"/>
      <c r="D348" s="6"/>
      <c r="E348" s="6"/>
      <c r="F348" s="6"/>
      <c r="G348" s="6"/>
      <c r="H348" s="4"/>
      <c r="I348" s="4"/>
      <c r="J348" s="4"/>
      <c r="K348" s="4"/>
      <c r="L348" s="4"/>
      <c r="M348" s="4"/>
      <c r="N348" s="4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9"/>
      <c r="BJ348" s="19">
        <f t="shared" si="148"/>
        <v>0</v>
      </c>
      <c r="BK348" s="6"/>
      <c r="BL348" s="6"/>
      <c r="BM348" s="6"/>
      <c r="BN348" s="6"/>
      <c r="BO348" s="6"/>
    </row>
    <row r="349" spans="1:67" ht="13.4" customHeight="1">
      <c r="A349" s="6"/>
      <c r="B349" s="6"/>
      <c r="C349" s="6"/>
      <c r="D349" s="6"/>
      <c r="E349" s="6"/>
      <c r="F349" s="6"/>
      <c r="G349" s="6"/>
      <c r="H349" s="4"/>
      <c r="I349" s="4"/>
      <c r="J349" s="4"/>
      <c r="K349" s="4"/>
      <c r="L349" s="4"/>
      <c r="M349" s="4"/>
      <c r="N349" s="4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9"/>
      <c r="BJ349" s="19">
        <f t="shared" si="148"/>
        <v>0</v>
      </c>
      <c r="BK349" s="6"/>
      <c r="BL349" s="6"/>
      <c r="BM349" s="6"/>
      <c r="BN349" s="6"/>
      <c r="BO349" s="6"/>
    </row>
    <row r="350" spans="1:67" ht="13.4" customHeight="1">
      <c r="A350" s="6"/>
      <c r="B350" s="6"/>
      <c r="C350" s="6"/>
      <c r="D350" s="6"/>
      <c r="E350" s="6"/>
      <c r="F350" s="6"/>
      <c r="G350" s="6"/>
      <c r="H350" s="4"/>
      <c r="I350" s="4"/>
      <c r="J350" s="4"/>
      <c r="K350" s="4"/>
      <c r="L350" s="4"/>
      <c r="M350" s="4"/>
      <c r="N350" s="4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9"/>
      <c r="BJ350" s="19">
        <f t="shared" si="148"/>
        <v>0</v>
      </c>
      <c r="BK350" s="6"/>
      <c r="BL350" s="6"/>
      <c r="BM350" s="6"/>
      <c r="BN350" s="6"/>
      <c r="BO350" s="6"/>
    </row>
    <row r="351" spans="1:67" ht="13.4" customHeight="1">
      <c r="A351" s="6"/>
      <c r="B351" s="6"/>
      <c r="C351" s="6"/>
      <c r="D351" s="6"/>
      <c r="E351" s="6"/>
      <c r="F351" s="6"/>
      <c r="G351" s="6"/>
      <c r="H351" s="4"/>
      <c r="I351" s="4"/>
      <c r="J351" s="4"/>
      <c r="K351" s="4"/>
      <c r="L351" s="4"/>
      <c r="M351" s="4"/>
      <c r="N351" s="4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9"/>
      <c r="BJ351" s="19">
        <f t="shared" si="148"/>
        <v>0</v>
      </c>
      <c r="BK351" s="6"/>
      <c r="BL351" s="6"/>
      <c r="BM351" s="6"/>
      <c r="BN351" s="6"/>
      <c r="BO351" s="6"/>
    </row>
    <row r="352" spans="1:67" ht="13.4" customHeight="1">
      <c r="A352" s="6"/>
      <c r="B352" s="6"/>
      <c r="C352" s="6"/>
      <c r="D352" s="6"/>
      <c r="E352" s="6"/>
      <c r="F352" s="6"/>
      <c r="G352" s="6"/>
      <c r="H352" s="4"/>
      <c r="I352" s="4"/>
      <c r="J352" s="4"/>
      <c r="K352" s="4"/>
      <c r="L352" s="4"/>
      <c r="M352" s="4"/>
      <c r="N352" s="4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9"/>
      <c r="BJ352" s="19">
        <f t="shared" si="148"/>
        <v>0</v>
      </c>
      <c r="BK352" s="6"/>
      <c r="BL352" s="6"/>
      <c r="BM352" s="6"/>
      <c r="BN352" s="6"/>
      <c r="BO352" s="6"/>
    </row>
    <row r="353" spans="1:67" ht="13.4" customHeight="1">
      <c r="A353" s="6"/>
      <c r="B353" s="6"/>
      <c r="C353" s="6"/>
      <c r="D353" s="6"/>
      <c r="E353" s="6"/>
      <c r="F353" s="6"/>
      <c r="G353" s="6"/>
      <c r="H353" s="4"/>
      <c r="I353" s="4"/>
      <c r="J353" s="4"/>
      <c r="K353" s="4"/>
      <c r="L353" s="4"/>
      <c r="M353" s="4"/>
      <c r="N353" s="4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9"/>
      <c r="BJ353" s="19">
        <f t="shared" si="148"/>
        <v>0</v>
      </c>
      <c r="BK353" s="6"/>
      <c r="BL353" s="6"/>
      <c r="BM353" s="6"/>
      <c r="BN353" s="6"/>
      <c r="BO353" s="6"/>
    </row>
    <row r="354" spans="1:67" ht="13.4" customHeight="1">
      <c r="A354" s="6"/>
      <c r="B354" s="6"/>
      <c r="C354" s="6"/>
      <c r="D354" s="6"/>
      <c r="E354" s="6"/>
      <c r="F354" s="6"/>
      <c r="G354" s="6"/>
      <c r="H354" s="4"/>
      <c r="I354" s="4"/>
      <c r="J354" s="4"/>
      <c r="K354" s="4"/>
      <c r="L354" s="4"/>
      <c r="M354" s="4"/>
      <c r="N354" s="4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9"/>
      <c r="BJ354" s="19">
        <f t="shared" si="148"/>
        <v>0</v>
      </c>
      <c r="BK354" s="6"/>
      <c r="BL354" s="6"/>
      <c r="BM354" s="6"/>
      <c r="BN354" s="6"/>
      <c r="BO354" s="6"/>
    </row>
    <row r="355" spans="1:67" ht="13.4" customHeight="1">
      <c r="A355" s="6"/>
      <c r="B355" s="6"/>
      <c r="C355" s="6"/>
      <c r="D355" s="6"/>
      <c r="E355" s="6"/>
      <c r="F355" s="6"/>
      <c r="G355" s="6"/>
      <c r="H355" s="4"/>
      <c r="I355" s="4"/>
      <c r="J355" s="4"/>
      <c r="K355" s="4"/>
      <c r="L355" s="4"/>
      <c r="M355" s="4"/>
      <c r="N355" s="4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9"/>
      <c r="BJ355" s="19">
        <f t="shared" si="148"/>
        <v>0</v>
      </c>
      <c r="BK355" s="6"/>
      <c r="BL355" s="6"/>
      <c r="BM355" s="6"/>
      <c r="BN355" s="6"/>
      <c r="BO355" s="6"/>
    </row>
    <row r="356" spans="1:67" ht="13.4" customHeight="1">
      <c r="A356" s="6"/>
      <c r="B356" s="6"/>
      <c r="C356" s="6"/>
      <c r="D356" s="6"/>
      <c r="E356" s="6"/>
      <c r="F356" s="6"/>
      <c r="G356" s="6"/>
      <c r="H356" s="4"/>
      <c r="I356" s="4"/>
      <c r="J356" s="4"/>
      <c r="K356" s="4"/>
      <c r="L356" s="4"/>
      <c r="M356" s="4"/>
      <c r="N356" s="4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9"/>
      <c r="BJ356" s="19">
        <f t="shared" si="148"/>
        <v>0</v>
      </c>
      <c r="BK356" s="6"/>
      <c r="BL356" s="6"/>
      <c r="BM356" s="6"/>
      <c r="BN356" s="6"/>
      <c r="BO356" s="6"/>
    </row>
    <row r="357" spans="1:67" ht="13.4" customHeight="1">
      <c r="A357" s="6"/>
      <c r="B357" s="6"/>
      <c r="C357" s="6"/>
      <c r="D357" s="6"/>
      <c r="E357" s="6"/>
      <c r="F357" s="6"/>
      <c r="G357" s="6"/>
      <c r="H357" s="4"/>
      <c r="I357" s="4"/>
      <c r="J357" s="4"/>
      <c r="K357" s="4"/>
      <c r="L357" s="4"/>
      <c r="M357" s="4"/>
      <c r="N357" s="4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9"/>
      <c r="BJ357" s="19">
        <f t="shared" si="148"/>
        <v>0</v>
      </c>
      <c r="BK357" s="6"/>
      <c r="BL357" s="6"/>
      <c r="BM357" s="6"/>
      <c r="BN357" s="6"/>
      <c r="BO357" s="6"/>
    </row>
    <row r="358" spans="1:67" ht="13.4" customHeight="1">
      <c r="A358" s="6"/>
      <c r="B358" s="6"/>
      <c r="C358" s="6"/>
      <c r="D358" s="6"/>
      <c r="E358" s="6"/>
      <c r="F358" s="6"/>
      <c r="G358" s="6"/>
      <c r="H358" s="4"/>
      <c r="I358" s="4"/>
      <c r="J358" s="4"/>
      <c r="K358" s="4"/>
      <c r="L358" s="4"/>
      <c r="M358" s="4"/>
      <c r="N358" s="4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9"/>
      <c r="BJ358" s="19">
        <f t="shared" si="148"/>
        <v>0</v>
      </c>
      <c r="BK358" s="6"/>
      <c r="BL358" s="6"/>
      <c r="BM358" s="6"/>
      <c r="BN358" s="6"/>
      <c r="BO358" s="6"/>
    </row>
    <row r="359" spans="1:67" ht="13.4" customHeight="1">
      <c r="A359" s="6"/>
      <c r="B359" s="6"/>
      <c r="C359" s="6"/>
      <c r="D359" s="6"/>
      <c r="E359" s="6"/>
      <c r="F359" s="6"/>
      <c r="G359" s="6"/>
      <c r="H359" s="4"/>
      <c r="I359" s="4"/>
      <c r="J359" s="4"/>
      <c r="K359" s="4"/>
      <c r="L359" s="4"/>
      <c r="M359" s="4"/>
      <c r="N359" s="4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9"/>
      <c r="BJ359" s="19">
        <f t="shared" si="148"/>
        <v>0</v>
      </c>
      <c r="BK359" s="6"/>
      <c r="BL359" s="6"/>
      <c r="BM359" s="6"/>
      <c r="BN359" s="6"/>
      <c r="BO359" s="6"/>
    </row>
    <row r="360" spans="1:67" ht="13.4" customHeight="1">
      <c r="A360" s="6"/>
      <c r="B360" s="6"/>
      <c r="C360" s="6"/>
      <c r="D360" s="6"/>
      <c r="E360" s="6"/>
      <c r="F360" s="6"/>
      <c r="G360" s="6"/>
      <c r="H360" s="4"/>
      <c r="I360" s="4"/>
      <c r="J360" s="4"/>
      <c r="K360" s="4"/>
      <c r="L360" s="4"/>
      <c r="M360" s="4"/>
      <c r="N360" s="4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9"/>
      <c r="BJ360" s="19">
        <f t="shared" si="148"/>
        <v>0</v>
      </c>
      <c r="BK360" s="6"/>
      <c r="BL360" s="6"/>
      <c r="BM360" s="6"/>
      <c r="BN360" s="6"/>
      <c r="BO360" s="6"/>
    </row>
    <row r="361" spans="1:67" ht="13.4" customHeight="1">
      <c r="A361" s="6"/>
      <c r="B361" s="6"/>
      <c r="C361" s="6"/>
      <c r="D361" s="6"/>
      <c r="E361" s="6"/>
      <c r="F361" s="6"/>
      <c r="G361" s="6"/>
      <c r="H361" s="4"/>
      <c r="I361" s="4"/>
      <c r="J361" s="4"/>
      <c r="K361" s="4"/>
      <c r="L361" s="4"/>
      <c r="M361" s="4"/>
      <c r="N361" s="4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9"/>
      <c r="BJ361" s="19">
        <f t="shared" si="148"/>
        <v>0</v>
      </c>
      <c r="BK361" s="6"/>
      <c r="BL361" s="6"/>
      <c r="BM361" s="6"/>
      <c r="BN361" s="6"/>
      <c r="BO361" s="6"/>
    </row>
    <row r="362" spans="1:67" ht="13.4" customHeight="1">
      <c r="A362" s="6"/>
      <c r="B362" s="6"/>
      <c r="C362" s="6"/>
      <c r="D362" s="6"/>
      <c r="E362" s="6"/>
      <c r="F362" s="6"/>
      <c r="G362" s="6"/>
      <c r="H362" s="4"/>
      <c r="I362" s="4"/>
      <c r="J362" s="4"/>
      <c r="K362" s="4"/>
      <c r="L362" s="4"/>
      <c r="M362" s="4"/>
      <c r="N362" s="4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9"/>
      <c r="BJ362" s="19">
        <f t="shared" si="148"/>
        <v>0</v>
      </c>
      <c r="BK362" s="6"/>
      <c r="BL362" s="6"/>
      <c r="BM362" s="6"/>
      <c r="BN362" s="6"/>
      <c r="BO362" s="6"/>
    </row>
    <row r="363" spans="1:67" ht="13.4" customHeight="1">
      <c r="A363" s="6"/>
      <c r="B363" s="6"/>
      <c r="C363" s="6"/>
      <c r="D363" s="6"/>
      <c r="E363" s="6"/>
      <c r="F363" s="6"/>
      <c r="G363" s="6"/>
      <c r="H363" s="4"/>
      <c r="I363" s="4"/>
      <c r="J363" s="4"/>
      <c r="K363" s="4"/>
      <c r="L363" s="4"/>
      <c r="M363" s="4"/>
      <c r="N363" s="4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9"/>
      <c r="BJ363" s="19">
        <f t="shared" si="148"/>
        <v>0</v>
      </c>
      <c r="BK363" s="6"/>
      <c r="BL363" s="6"/>
      <c r="BM363" s="6"/>
      <c r="BN363" s="6"/>
      <c r="BO363" s="6"/>
    </row>
    <row r="364" spans="1:67" ht="13.4" customHeight="1">
      <c r="A364" s="6"/>
      <c r="B364" s="6"/>
      <c r="C364" s="6"/>
      <c r="D364" s="6"/>
      <c r="E364" s="6"/>
      <c r="F364" s="6"/>
      <c r="G364" s="6"/>
      <c r="H364" s="4"/>
      <c r="I364" s="4"/>
      <c r="J364" s="4"/>
      <c r="K364" s="4"/>
      <c r="L364" s="4"/>
      <c r="M364" s="4"/>
      <c r="N364" s="4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9"/>
      <c r="BJ364" s="19">
        <f t="shared" si="148"/>
        <v>0</v>
      </c>
      <c r="BK364" s="6"/>
      <c r="BL364" s="6"/>
      <c r="BM364" s="6"/>
      <c r="BN364" s="6"/>
      <c r="BO364" s="6"/>
    </row>
    <row r="365" spans="1:67" ht="13.4" customHeight="1">
      <c r="A365" s="6"/>
      <c r="B365" s="6"/>
      <c r="C365" s="6"/>
      <c r="D365" s="6"/>
      <c r="E365" s="6"/>
      <c r="F365" s="6"/>
      <c r="G365" s="6"/>
      <c r="H365" s="4"/>
      <c r="I365" s="4"/>
      <c r="J365" s="4"/>
      <c r="K365" s="4"/>
      <c r="L365" s="4"/>
      <c r="M365" s="4"/>
      <c r="N365" s="4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9"/>
      <c r="BJ365" s="19">
        <f t="shared" si="148"/>
        <v>0</v>
      </c>
      <c r="BK365" s="6"/>
      <c r="BL365" s="6"/>
      <c r="BM365" s="6"/>
      <c r="BN365" s="6"/>
      <c r="BO365" s="6"/>
    </row>
    <row r="366" spans="1:67" ht="13.4" customHeight="1">
      <c r="A366" s="6"/>
      <c r="B366" s="6"/>
      <c r="C366" s="6"/>
      <c r="D366" s="6"/>
      <c r="E366" s="6"/>
      <c r="F366" s="6"/>
      <c r="G366" s="6"/>
      <c r="H366" s="4"/>
      <c r="I366" s="4"/>
      <c r="J366" s="4"/>
      <c r="K366" s="4"/>
      <c r="L366" s="4"/>
      <c r="M366" s="4"/>
      <c r="N366" s="4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9"/>
      <c r="BJ366" s="19">
        <f t="shared" si="148"/>
        <v>0</v>
      </c>
      <c r="BK366" s="6"/>
      <c r="BL366" s="6"/>
      <c r="BM366" s="6"/>
      <c r="BN366" s="6"/>
      <c r="BO366" s="6"/>
    </row>
    <row r="367" spans="1:67" ht="13.4" customHeight="1">
      <c r="A367" s="6"/>
      <c r="B367" s="6"/>
      <c r="C367" s="6"/>
      <c r="D367" s="6"/>
      <c r="E367" s="6"/>
      <c r="F367" s="6"/>
      <c r="G367" s="6"/>
      <c r="H367" s="4"/>
      <c r="I367" s="4"/>
      <c r="J367" s="4"/>
      <c r="K367" s="4"/>
      <c r="L367" s="4"/>
      <c r="M367" s="4"/>
      <c r="N367" s="4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9"/>
      <c r="BJ367" s="19">
        <f t="shared" si="148"/>
        <v>0</v>
      </c>
      <c r="BK367" s="6"/>
      <c r="BL367" s="6"/>
      <c r="BM367" s="6"/>
      <c r="BN367" s="6"/>
      <c r="BO367" s="6"/>
    </row>
    <row r="368" spans="1:67" ht="13.4" customHeight="1">
      <c r="A368" s="6"/>
      <c r="B368" s="6"/>
      <c r="C368" s="6"/>
      <c r="D368" s="6"/>
      <c r="E368" s="6"/>
      <c r="F368" s="6"/>
      <c r="G368" s="6"/>
      <c r="H368" s="4"/>
      <c r="I368" s="4"/>
      <c r="J368" s="4"/>
      <c r="K368" s="4"/>
      <c r="L368" s="4"/>
      <c r="M368" s="4"/>
      <c r="N368" s="4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9"/>
      <c r="BJ368" s="19">
        <f t="shared" si="148"/>
        <v>0</v>
      </c>
      <c r="BK368" s="6"/>
      <c r="BL368" s="6"/>
      <c r="BM368" s="6"/>
      <c r="BN368" s="6"/>
      <c r="BO368" s="6"/>
    </row>
    <row r="369" spans="1:67" ht="13.4" customHeight="1">
      <c r="A369" s="6"/>
      <c r="B369" s="6"/>
      <c r="C369" s="6"/>
      <c r="D369" s="6"/>
      <c r="E369" s="6"/>
      <c r="F369" s="6"/>
      <c r="G369" s="6"/>
      <c r="H369" s="4"/>
      <c r="I369" s="4"/>
      <c r="J369" s="4"/>
      <c r="K369" s="4"/>
      <c r="L369" s="4"/>
      <c r="M369" s="4"/>
      <c r="N369" s="4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9"/>
      <c r="BJ369" s="19">
        <f t="shared" si="148"/>
        <v>0</v>
      </c>
      <c r="BK369" s="6"/>
      <c r="BL369" s="6"/>
      <c r="BM369" s="6"/>
      <c r="BN369" s="6"/>
      <c r="BO369" s="6"/>
    </row>
    <row r="370" spans="1:67" ht="13.4" customHeight="1">
      <c r="A370" s="6"/>
      <c r="B370" s="6"/>
      <c r="C370" s="6"/>
      <c r="D370" s="6"/>
      <c r="E370" s="6"/>
      <c r="F370" s="6"/>
      <c r="G370" s="6"/>
      <c r="H370" s="4"/>
      <c r="I370" s="4"/>
      <c r="J370" s="4"/>
      <c r="K370" s="4"/>
      <c r="L370" s="4"/>
      <c r="M370" s="4"/>
      <c r="N370" s="4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9"/>
      <c r="BJ370" s="19">
        <f t="shared" si="148"/>
        <v>0</v>
      </c>
      <c r="BK370" s="6"/>
      <c r="BL370" s="6"/>
      <c r="BM370" s="6"/>
      <c r="BN370" s="6"/>
      <c r="BO370" s="6"/>
    </row>
    <row r="371" spans="1:67" ht="13.4" customHeight="1">
      <c r="A371" s="6"/>
      <c r="B371" s="6"/>
      <c r="C371" s="6"/>
      <c r="D371" s="6"/>
      <c r="E371" s="6"/>
      <c r="F371" s="6"/>
      <c r="G371" s="6"/>
      <c r="H371" s="4"/>
      <c r="I371" s="4"/>
      <c r="J371" s="4"/>
      <c r="K371" s="4"/>
      <c r="L371" s="4"/>
      <c r="M371" s="4"/>
      <c r="N371" s="4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9"/>
      <c r="BJ371" s="19">
        <f t="shared" si="148"/>
        <v>0</v>
      </c>
      <c r="BK371" s="6"/>
      <c r="BL371" s="6"/>
      <c r="BM371" s="6"/>
      <c r="BN371" s="6"/>
      <c r="BO371" s="6"/>
    </row>
    <row r="372" spans="1:67" ht="13.4" customHeight="1">
      <c r="A372" s="6"/>
      <c r="B372" s="6"/>
      <c r="C372" s="6"/>
      <c r="D372" s="6"/>
      <c r="E372" s="6"/>
      <c r="F372" s="6"/>
      <c r="G372" s="6"/>
      <c r="H372" s="4"/>
      <c r="I372" s="4"/>
      <c r="J372" s="4"/>
      <c r="K372" s="4"/>
      <c r="L372" s="4"/>
      <c r="M372" s="4"/>
      <c r="N372" s="4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9"/>
      <c r="BJ372" s="19">
        <f t="shared" si="148"/>
        <v>0</v>
      </c>
      <c r="BK372" s="6"/>
      <c r="BL372" s="6"/>
      <c r="BM372" s="6"/>
      <c r="BN372" s="6"/>
      <c r="BO372" s="6"/>
    </row>
    <row r="373" spans="1:67" ht="13.4" customHeight="1">
      <c r="A373" s="6"/>
      <c r="B373" s="6"/>
      <c r="C373" s="6"/>
      <c r="D373" s="6"/>
      <c r="E373" s="6"/>
      <c r="F373" s="6"/>
      <c r="G373" s="6"/>
      <c r="H373" s="4"/>
      <c r="I373" s="4"/>
      <c r="J373" s="4"/>
      <c r="K373" s="4"/>
      <c r="L373" s="4"/>
      <c r="M373" s="4"/>
      <c r="N373" s="4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9"/>
      <c r="BJ373" s="19">
        <f t="shared" si="148"/>
        <v>0</v>
      </c>
      <c r="BK373" s="6"/>
      <c r="BL373" s="6"/>
      <c r="BM373" s="6"/>
      <c r="BN373" s="6"/>
      <c r="BO373" s="6"/>
    </row>
    <row r="374" spans="1:67" ht="13.4" customHeight="1">
      <c r="A374" s="6"/>
      <c r="B374" s="6"/>
      <c r="C374" s="6"/>
      <c r="D374" s="6"/>
      <c r="E374" s="6"/>
      <c r="F374" s="6"/>
      <c r="G374" s="6"/>
      <c r="H374" s="4"/>
      <c r="I374" s="4"/>
      <c r="J374" s="4"/>
      <c r="K374" s="4"/>
      <c r="L374" s="4"/>
      <c r="M374" s="4"/>
      <c r="N374" s="4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9"/>
      <c r="BJ374" s="19">
        <f t="shared" si="148"/>
        <v>0</v>
      </c>
      <c r="BK374" s="6"/>
      <c r="BL374" s="6"/>
      <c r="BM374" s="6"/>
      <c r="BN374" s="6"/>
      <c r="BO374" s="6"/>
    </row>
    <row r="375" spans="1:67" ht="13.4" customHeight="1">
      <c r="A375" s="6"/>
      <c r="B375" s="6"/>
      <c r="C375" s="6"/>
      <c r="D375" s="6"/>
      <c r="E375" s="6"/>
      <c r="F375" s="6"/>
      <c r="G375" s="6"/>
      <c r="H375" s="4"/>
      <c r="I375" s="4"/>
      <c r="J375" s="4"/>
      <c r="K375" s="4"/>
      <c r="L375" s="4"/>
      <c r="M375" s="4"/>
      <c r="N375" s="4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9"/>
      <c r="BJ375" s="19">
        <f t="shared" si="148"/>
        <v>0</v>
      </c>
      <c r="BK375" s="6"/>
      <c r="BL375" s="6"/>
      <c r="BM375" s="6"/>
      <c r="BN375" s="6"/>
      <c r="BO375" s="6"/>
    </row>
    <row r="376" spans="1:67" ht="13.4" customHeight="1">
      <c r="A376" s="6"/>
      <c r="B376" s="6"/>
      <c r="C376" s="6"/>
      <c r="D376" s="6"/>
      <c r="E376" s="6"/>
      <c r="F376" s="6"/>
      <c r="G376" s="6"/>
      <c r="H376" s="4"/>
      <c r="I376" s="4"/>
      <c r="J376" s="4"/>
      <c r="K376" s="4"/>
      <c r="L376" s="4"/>
      <c r="M376" s="4"/>
      <c r="N376" s="4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9"/>
      <c r="BJ376" s="19">
        <f t="shared" si="148"/>
        <v>0</v>
      </c>
      <c r="BK376" s="6"/>
      <c r="BL376" s="6"/>
      <c r="BM376" s="6"/>
      <c r="BN376" s="6"/>
      <c r="BO376" s="6"/>
    </row>
    <row r="377" spans="1:67" ht="13.4" customHeight="1">
      <c r="A377" s="6"/>
      <c r="B377" s="6"/>
      <c r="C377" s="6"/>
      <c r="D377" s="6"/>
      <c r="E377" s="6"/>
      <c r="F377" s="6"/>
      <c r="G377" s="6"/>
      <c r="H377" s="4"/>
      <c r="I377" s="4"/>
      <c r="J377" s="4"/>
      <c r="K377" s="4"/>
      <c r="L377" s="4"/>
      <c r="M377" s="4"/>
      <c r="N377" s="4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9"/>
      <c r="BJ377" s="19">
        <f t="shared" si="148"/>
        <v>0</v>
      </c>
      <c r="BK377" s="6"/>
      <c r="BL377" s="6"/>
      <c r="BM377" s="6"/>
      <c r="BN377" s="6"/>
      <c r="BO377" s="6"/>
    </row>
    <row r="378" spans="1:67" ht="13.4" customHeight="1">
      <c r="A378" s="6"/>
      <c r="B378" s="6"/>
      <c r="C378" s="6"/>
      <c r="D378" s="6"/>
      <c r="E378" s="6"/>
      <c r="F378" s="6"/>
      <c r="G378" s="6"/>
      <c r="H378" s="4"/>
      <c r="I378" s="4"/>
      <c r="J378" s="4"/>
      <c r="K378" s="4"/>
      <c r="L378" s="4"/>
      <c r="M378" s="4"/>
      <c r="N378" s="4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9"/>
      <c r="BJ378" s="19">
        <f t="shared" si="148"/>
        <v>0</v>
      </c>
      <c r="BK378" s="6"/>
      <c r="BL378" s="6"/>
      <c r="BM378" s="6"/>
      <c r="BN378" s="6"/>
      <c r="BO378" s="6"/>
    </row>
    <row r="379" spans="1:67" ht="13.4" customHeight="1">
      <c r="A379" s="6"/>
      <c r="B379" s="6"/>
      <c r="C379" s="6"/>
      <c r="D379" s="6"/>
      <c r="E379" s="6"/>
      <c r="F379" s="6"/>
      <c r="G379" s="6"/>
      <c r="H379" s="4"/>
      <c r="I379" s="4"/>
      <c r="J379" s="4"/>
      <c r="K379" s="4"/>
      <c r="L379" s="4"/>
      <c r="M379" s="4"/>
      <c r="N379" s="4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9"/>
      <c r="BJ379" s="19">
        <f t="shared" si="148"/>
        <v>0</v>
      </c>
      <c r="BK379" s="6"/>
      <c r="BL379" s="6"/>
      <c r="BM379" s="6"/>
      <c r="BN379" s="6"/>
      <c r="BO379" s="6"/>
    </row>
    <row r="380" spans="1:67" ht="13.4" customHeight="1">
      <c r="A380" s="6"/>
      <c r="B380" s="6"/>
      <c r="C380" s="6"/>
      <c r="D380" s="6"/>
      <c r="E380" s="6"/>
      <c r="F380" s="6"/>
      <c r="G380" s="6"/>
      <c r="H380" s="4"/>
      <c r="I380" s="4"/>
      <c r="J380" s="4"/>
      <c r="K380" s="4"/>
      <c r="L380" s="4"/>
      <c r="M380" s="4"/>
      <c r="N380" s="4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9"/>
      <c r="BJ380" s="19">
        <f t="shared" si="148"/>
        <v>0</v>
      </c>
      <c r="BK380" s="6"/>
      <c r="BL380" s="6"/>
      <c r="BM380" s="6"/>
      <c r="BN380" s="6"/>
      <c r="BO380" s="6"/>
    </row>
    <row r="381" spans="1:67" ht="13.4" customHeight="1">
      <c r="A381" s="6"/>
      <c r="B381" s="6"/>
      <c r="C381" s="6"/>
      <c r="D381" s="6"/>
      <c r="E381" s="6"/>
      <c r="F381" s="6"/>
      <c r="G381" s="6"/>
      <c r="H381" s="4"/>
      <c r="I381" s="4"/>
      <c r="J381" s="4"/>
      <c r="K381" s="4"/>
      <c r="L381" s="4"/>
      <c r="M381" s="4"/>
      <c r="N381" s="4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9"/>
      <c r="BJ381" s="19">
        <f t="shared" si="148"/>
        <v>0</v>
      </c>
      <c r="BK381" s="6"/>
      <c r="BL381" s="6"/>
      <c r="BM381" s="6"/>
      <c r="BN381" s="6"/>
      <c r="BO381" s="6"/>
    </row>
    <row r="382" spans="1:67" ht="13.4" customHeight="1">
      <c r="A382" s="6"/>
      <c r="B382" s="6"/>
      <c r="C382" s="6"/>
      <c r="D382" s="6"/>
      <c r="E382" s="6"/>
      <c r="F382" s="6"/>
      <c r="G382" s="6"/>
      <c r="H382" s="4"/>
      <c r="I382" s="4"/>
      <c r="J382" s="4"/>
      <c r="K382" s="4"/>
      <c r="L382" s="4"/>
      <c r="M382" s="4"/>
      <c r="N382" s="4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9"/>
      <c r="BJ382" s="19">
        <f t="shared" si="148"/>
        <v>0</v>
      </c>
      <c r="BK382" s="6"/>
      <c r="BL382" s="6"/>
      <c r="BM382" s="6"/>
      <c r="BN382" s="6"/>
      <c r="BO382" s="6"/>
    </row>
    <row r="383" spans="1:67" ht="13.4" customHeight="1">
      <c r="A383" s="6"/>
      <c r="B383" s="6"/>
      <c r="C383" s="6"/>
      <c r="D383" s="6"/>
      <c r="E383" s="6"/>
      <c r="F383" s="6"/>
      <c r="G383" s="6"/>
      <c r="H383" s="4"/>
      <c r="I383" s="4"/>
      <c r="J383" s="4"/>
      <c r="K383" s="4"/>
      <c r="L383" s="4"/>
      <c r="M383" s="4"/>
      <c r="N383" s="4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9"/>
      <c r="BJ383" s="19">
        <f t="shared" si="148"/>
        <v>0</v>
      </c>
      <c r="BK383" s="6"/>
      <c r="BL383" s="6"/>
      <c r="BM383" s="6"/>
      <c r="BN383" s="6"/>
      <c r="BO383" s="6"/>
    </row>
    <row r="384" spans="1:67" ht="13.4" customHeight="1">
      <c r="A384" s="6"/>
      <c r="B384" s="6"/>
      <c r="C384" s="6"/>
      <c r="D384" s="6"/>
      <c r="E384" s="6"/>
      <c r="F384" s="6"/>
      <c r="G384" s="6"/>
      <c r="H384" s="4"/>
      <c r="I384" s="4"/>
      <c r="J384" s="4"/>
      <c r="K384" s="4"/>
      <c r="L384" s="4"/>
      <c r="M384" s="4"/>
      <c r="N384" s="4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9"/>
      <c r="BJ384" s="19">
        <f t="shared" si="148"/>
        <v>0</v>
      </c>
      <c r="BK384" s="6"/>
      <c r="BL384" s="6"/>
      <c r="BM384" s="6"/>
      <c r="BN384" s="6"/>
      <c r="BO384" s="6"/>
    </row>
    <row r="385" spans="1:67" ht="13.4" customHeight="1">
      <c r="A385" s="6"/>
      <c r="B385" s="6"/>
      <c r="C385" s="6"/>
      <c r="D385" s="6"/>
      <c r="E385" s="6"/>
      <c r="F385" s="6"/>
      <c r="G385" s="6"/>
      <c r="H385" s="4"/>
      <c r="I385" s="4"/>
      <c r="J385" s="4"/>
      <c r="K385" s="4"/>
      <c r="L385" s="4"/>
      <c r="M385" s="4"/>
      <c r="N385" s="4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9"/>
      <c r="BJ385" s="19">
        <f t="shared" si="148"/>
        <v>0</v>
      </c>
      <c r="BK385" s="6"/>
      <c r="BL385" s="6"/>
      <c r="BM385" s="6"/>
      <c r="BN385" s="6"/>
      <c r="BO385" s="6"/>
    </row>
    <row r="386" spans="1:67" ht="13.4" customHeight="1">
      <c r="A386" s="6"/>
      <c r="B386" s="6"/>
      <c r="C386" s="6"/>
      <c r="D386" s="6"/>
      <c r="E386" s="6"/>
      <c r="F386" s="6"/>
      <c r="G386" s="6"/>
      <c r="H386" s="4"/>
      <c r="I386" s="4"/>
      <c r="J386" s="4"/>
      <c r="K386" s="4"/>
      <c r="L386" s="4"/>
      <c r="M386" s="4"/>
      <c r="N386" s="4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9"/>
      <c r="BJ386" s="19">
        <f t="shared" si="148"/>
        <v>0</v>
      </c>
      <c r="BK386" s="6"/>
      <c r="BL386" s="6"/>
      <c r="BM386" s="6"/>
      <c r="BN386" s="6"/>
      <c r="BO386" s="6"/>
    </row>
    <row r="387" spans="1:67" ht="13.4" customHeight="1">
      <c r="A387" s="6"/>
      <c r="B387" s="6"/>
      <c r="C387" s="6"/>
      <c r="D387" s="6"/>
      <c r="E387" s="6"/>
      <c r="F387" s="6"/>
      <c r="G387" s="6"/>
      <c r="H387" s="4"/>
      <c r="I387" s="4"/>
      <c r="J387" s="4"/>
      <c r="K387" s="4"/>
      <c r="L387" s="4"/>
      <c r="M387" s="4"/>
      <c r="N387" s="4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9"/>
      <c r="BJ387" s="19">
        <f t="shared" ref="BJ387:BJ450" si="149">A387</f>
        <v>0</v>
      </c>
      <c r="BK387" s="6"/>
      <c r="BL387" s="6"/>
      <c r="BM387" s="6"/>
      <c r="BN387" s="6"/>
      <c r="BO387" s="6"/>
    </row>
    <row r="388" spans="1:67" ht="13.4" customHeight="1">
      <c r="A388" s="6"/>
      <c r="B388" s="6"/>
      <c r="C388" s="6"/>
      <c r="D388" s="6"/>
      <c r="E388" s="6"/>
      <c r="F388" s="6"/>
      <c r="G388" s="6"/>
      <c r="H388" s="4"/>
      <c r="I388" s="4"/>
      <c r="J388" s="4"/>
      <c r="K388" s="4"/>
      <c r="L388" s="4"/>
      <c r="M388" s="4"/>
      <c r="N388" s="4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9"/>
      <c r="BJ388" s="19">
        <f t="shared" si="149"/>
        <v>0</v>
      </c>
      <c r="BK388" s="6"/>
      <c r="BL388" s="6"/>
      <c r="BM388" s="6"/>
      <c r="BN388" s="6"/>
      <c r="BO388" s="6"/>
    </row>
    <row r="389" spans="1:67" ht="13.4" customHeight="1">
      <c r="A389" s="6"/>
      <c r="B389" s="6"/>
      <c r="C389" s="6"/>
      <c r="D389" s="6"/>
      <c r="E389" s="6"/>
      <c r="F389" s="6"/>
      <c r="G389" s="6"/>
      <c r="H389" s="4"/>
      <c r="I389" s="4"/>
      <c r="J389" s="4"/>
      <c r="K389" s="4"/>
      <c r="L389" s="4"/>
      <c r="M389" s="4"/>
      <c r="N389" s="4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9"/>
      <c r="BJ389" s="19">
        <f t="shared" si="149"/>
        <v>0</v>
      </c>
      <c r="BK389" s="6"/>
      <c r="BL389" s="6"/>
      <c r="BM389" s="6"/>
      <c r="BN389" s="6"/>
      <c r="BO389" s="6"/>
    </row>
    <row r="390" spans="1:67" ht="13.4" customHeight="1">
      <c r="A390" s="6"/>
      <c r="B390" s="6"/>
      <c r="C390" s="6"/>
      <c r="D390" s="6"/>
      <c r="E390" s="6"/>
      <c r="F390" s="6"/>
      <c r="G390" s="6"/>
      <c r="H390" s="4"/>
      <c r="I390" s="4"/>
      <c r="J390" s="4"/>
      <c r="K390" s="4"/>
      <c r="L390" s="4"/>
      <c r="M390" s="4"/>
      <c r="N390" s="4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9"/>
      <c r="BJ390" s="19">
        <f t="shared" si="149"/>
        <v>0</v>
      </c>
      <c r="BK390" s="6"/>
      <c r="BL390" s="6"/>
      <c r="BM390" s="6"/>
      <c r="BN390" s="6"/>
      <c r="BO390" s="6"/>
    </row>
    <row r="391" spans="1:67" ht="13.4" customHeight="1">
      <c r="A391" s="6"/>
      <c r="B391" s="6"/>
      <c r="C391" s="6"/>
      <c r="D391" s="6"/>
      <c r="E391" s="6"/>
      <c r="F391" s="6"/>
      <c r="G391" s="6"/>
      <c r="H391" s="4"/>
      <c r="I391" s="4"/>
      <c r="J391" s="4"/>
      <c r="K391" s="4"/>
      <c r="L391" s="4"/>
      <c r="M391" s="4"/>
      <c r="N391" s="4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9"/>
      <c r="BJ391" s="19">
        <f t="shared" si="149"/>
        <v>0</v>
      </c>
      <c r="BK391" s="6"/>
      <c r="BL391" s="6"/>
      <c r="BM391" s="6"/>
      <c r="BN391" s="6"/>
      <c r="BO391" s="6"/>
    </row>
    <row r="392" spans="1:67" ht="13.4" customHeight="1">
      <c r="A392" s="6"/>
      <c r="B392" s="6"/>
      <c r="C392" s="6"/>
      <c r="D392" s="6"/>
      <c r="E392" s="6"/>
      <c r="F392" s="6"/>
      <c r="G392" s="6"/>
      <c r="H392" s="4"/>
      <c r="I392" s="4"/>
      <c r="J392" s="4"/>
      <c r="K392" s="4"/>
      <c r="L392" s="4"/>
      <c r="M392" s="4"/>
      <c r="N392" s="4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9"/>
      <c r="BJ392" s="19">
        <f t="shared" si="149"/>
        <v>0</v>
      </c>
      <c r="BK392" s="6"/>
      <c r="BL392" s="6"/>
      <c r="BM392" s="6"/>
      <c r="BN392" s="6"/>
      <c r="BO392" s="6"/>
    </row>
    <row r="393" spans="1:67" ht="13.4" customHeight="1">
      <c r="A393" s="6"/>
      <c r="B393" s="6"/>
      <c r="C393" s="6"/>
      <c r="D393" s="6"/>
      <c r="E393" s="6"/>
      <c r="F393" s="6"/>
      <c r="G393" s="6"/>
      <c r="H393" s="4"/>
      <c r="I393" s="4"/>
      <c r="J393" s="4"/>
      <c r="K393" s="4"/>
      <c r="L393" s="4"/>
      <c r="M393" s="4"/>
      <c r="N393" s="4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9"/>
      <c r="BJ393" s="19">
        <f t="shared" si="149"/>
        <v>0</v>
      </c>
      <c r="BK393" s="6"/>
      <c r="BL393" s="6"/>
      <c r="BM393" s="6"/>
      <c r="BN393" s="6"/>
      <c r="BO393" s="6"/>
    </row>
    <row r="394" spans="1:67" ht="13.4" customHeight="1">
      <c r="A394" s="6"/>
      <c r="B394" s="6"/>
      <c r="C394" s="6"/>
      <c r="D394" s="6"/>
      <c r="E394" s="6"/>
      <c r="F394" s="6"/>
      <c r="G394" s="6"/>
      <c r="H394" s="4"/>
      <c r="I394" s="4"/>
      <c r="J394" s="4"/>
      <c r="K394" s="4"/>
      <c r="L394" s="4"/>
      <c r="M394" s="4"/>
      <c r="N394" s="4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9"/>
      <c r="BJ394" s="19">
        <f t="shared" si="149"/>
        <v>0</v>
      </c>
      <c r="BK394" s="6"/>
      <c r="BL394" s="6"/>
      <c r="BM394" s="6"/>
      <c r="BN394" s="6"/>
      <c r="BO394" s="6"/>
    </row>
    <row r="395" spans="1:67" ht="13.4" customHeight="1">
      <c r="A395" s="6"/>
      <c r="B395" s="6"/>
      <c r="C395" s="6"/>
      <c r="D395" s="6"/>
      <c r="E395" s="6"/>
      <c r="F395" s="6"/>
      <c r="G395" s="6"/>
      <c r="H395" s="4"/>
      <c r="I395" s="4"/>
      <c r="J395" s="4"/>
      <c r="K395" s="4"/>
      <c r="L395" s="4"/>
      <c r="M395" s="4"/>
      <c r="N395" s="4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9"/>
      <c r="BJ395" s="19">
        <f t="shared" si="149"/>
        <v>0</v>
      </c>
      <c r="BK395" s="6"/>
      <c r="BL395" s="6"/>
      <c r="BM395" s="6"/>
      <c r="BN395" s="6"/>
      <c r="BO395" s="6"/>
    </row>
    <row r="396" spans="1:67" ht="13.4" customHeight="1">
      <c r="A396" s="6"/>
      <c r="B396" s="6"/>
      <c r="C396" s="6"/>
      <c r="D396" s="6"/>
      <c r="E396" s="6"/>
      <c r="F396" s="6"/>
      <c r="G396" s="6"/>
      <c r="H396" s="4"/>
      <c r="I396" s="4"/>
      <c r="J396" s="4"/>
      <c r="K396" s="4"/>
      <c r="L396" s="4"/>
      <c r="M396" s="4"/>
      <c r="N396" s="4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9"/>
      <c r="BJ396" s="19">
        <f t="shared" si="149"/>
        <v>0</v>
      </c>
      <c r="BK396" s="6"/>
      <c r="BL396" s="6"/>
      <c r="BM396" s="6"/>
      <c r="BN396" s="6"/>
      <c r="BO396" s="6"/>
    </row>
    <row r="397" spans="1:67" ht="13.4" customHeight="1">
      <c r="A397" s="6"/>
      <c r="B397" s="6"/>
      <c r="C397" s="6"/>
      <c r="D397" s="6"/>
      <c r="E397" s="6"/>
      <c r="F397" s="6"/>
      <c r="G397" s="6"/>
      <c r="H397" s="4"/>
      <c r="I397" s="4"/>
      <c r="J397" s="4"/>
      <c r="K397" s="4"/>
      <c r="L397" s="4"/>
      <c r="M397" s="4"/>
      <c r="N397" s="4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9"/>
      <c r="BJ397" s="19">
        <f t="shared" si="149"/>
        <v>0</v>
      </c>
      <c r="BK397" s="6"/>
      <c r="BL397" s="6"/>
      <c r="BM397" s="6"/>
      <c r="BN397" s="6"/>
      <c r="BO397" s="6"/>
    </row>
    <row r="398" spans="1:67" ht="13.4" customHeight="1">
      <c r="A398" s="6"/>
      <c r="B398" s="6"/>
      <c r="C398" s="6"/>
      <c r="D398" s="6"/>
      <c r="E398" s="6"/>
      <c r="F398" s="6"/>
      <c r="G398" s="6"/>
      <c r="H398" s="4"/>
      <c r="I398" s="4"/>
      <c r="J398" s="4"/>
      <c r="K398" s="4"/>
      <c r="L398" s="4"/>
      <c r="M398" s="4"/>
      <c r="N398" s="4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9"/>
      <c r="BJ398" s="19">
        <f t="shared" si="149"/>
        <v>0</v>
      </c>
      <c r="BK398" s="6"/>
      <c r="BL398" s="6"/>
      <c r="BM398" s="6"/>
      <c r="BN398" s="6"/>
      <c r="BO398" s="6"/>
    </row>
    <row r="399" spans="1:67" ht="13.4" customHeight="1">
      <c r="A399" s="6"/>
      <c r="B399" s="6"/>
      <c r="C399" s="6"/>
      <c r="D399" s="6"/>
      <c r="E399" s="6"/>
      <c r="F399" s="6"/>
      <c r="G399" s="6"/>
      <c r="H399" s="4"/>
      <c r="I399" s="4"/>
      <c r="J399" s="4"/>
      <c r="K399" s="4"/>
      <c r="L399" s="4"/>
      <c r="M399" s="4"/>
      <c r="N399" s="4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9"/>
      <c r="BJ399" s="19">
        <f t="shared" si="149"/>
        <v>0</v>
      </c>
      <c r="BK399" s="6"/>
      <c r="BL399" s="6"/>
      <c r="BM399" s="6"/>
      <c r="BN399" s="6"/>
      <c r="BO399" s="6"/>
    </row>
    <row r="400" spans="1:67" ht="13.4" customHeight="1">
      <c r="A400" s="6"/>
      <c r="B400" s="6"/>
      <c r="C400" s="6"/>
      <c r="D400" s="6"/>
      <c r="E400" s="6"/>
      <c r="F400" s="6"/>
      <c r="G400" s="6"/>
      <c r="H400" s="4"/>
      <c r="I400" s="4"/>
      <c r="J400" s="4"/>
      <c r="K400" s="4"/>
      <c r="L400" s="4"/>
      <c r="M400" s="4"/>
      <c r="N400" s="4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9"/>
      <c r="BJ400" s="19">
        <f t="shared" si="149"/>
        <v>0</v>
      </c>
      <c r="BK400" s="6"/>
      <c r="BL400" s="6"/>
      <c r="BM400" s="6"/>
      <c r="BN400" s="6"/>
      <c r="BO400" s="6"/>
    </row>
    <row r="401" spans="1:67" ht="13.4" customHeight="1">
      <c r="A401" s="6"/>
      <c r="B401" s="6"/>
      <c r="C401" s="6"/>
      <c r="D401" s="6"/>
      <c r="E401" s="6"/>
      <c r="F401" s="6"/>
      <c r="G401" s="6"/>
      <c r="H401" s="4"/>
      <c r="I401" s="4"/>
      <c r="J401" s="4"/>
      <c r="K401" s="4"/>
      <c r="L401" s="4"/>
      <c r="M401" s="4"/>
      <c r="N401" s="4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9"/>
      <c r="BJ401" s="19">
        <f t="shared" si="149"/>
        <v>0</v>
      </c>
      <c r="BK401" s="6"/>
      <c r="BL401" s="6"/>
      <c r="BM401" s="6"/>
      <c r="BN401" s="6"/>
      <c r="BO401" s="6"/>
    </row>
    <row r="402" spans="1:67" ht="13.4" customHeight="1">
      <c r="A402" s="6"/>
      <c r="B402" s="6"/>
      <c r="C402" s="6"/>
      <c r="D402" s="6"/>
      <c r="E402" s="6"/>
      <c r="F402" s="6"/>
      <c r="G402" s="6"/>
      <c r="H402" s="4"/>
      <c r="I402" s="4"/>
      <c r="J402" s="4"/>
      <c r="K402" s="4"/>
      <c r="L402" s="4"/>
      <c r="M402" s="4"/>
      <c r="N402" s="4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9"/>
      <c r="BJ402" s="19">
        <f t="shared" si="149"/>
        <v>0</v>
      </c>
      <c r="BK402" s="6"/>
      <c r="BL402" s="6"/>
      <c r="BM402" s="6"/>
      <c r="BN402" s="6"/>
      <c r="BO402" s="6"/>
    </row>
    <row r="403" spans="1:67" ht="13.4" customHeight="1">
      <c r="A403" s="6"/>
      <c r="B403" s="6"/>
      <c r="C403" s="6"/>
      <c r="D403" s="6"/>
      <c r="E403" s="6"/>
      <c r="F403" s="6"/>
      <c r="G403" s="6"/>
      <c r="H403" s="4"/>
      <c r="I403" s="4"/>
      <c r="J403" s="4"/>
      <c r="K403" s="4"/>
      <c r="L403" s="4"/>
      <c r="M403" s="4"/>
      <c r="N403" s="4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9"/>
      <c r="BJ403" s="19">
        <f t="shared" si="149"/>
        <v>0</v>
      </c>
      <c r="BK403" s="6"/>
      <c r="BL403" s="6"/>
      <c r="BM403" s="6"/>
      <c r="BN403" s="6"/>
      <c r="BO403" s="6"/>
    </row>
    <row r="404" spans="1:67" ht="13.4" customHeight="1">
      <c r="A404" s="6"/>
      <c r="B404" s="6"/>
      <c r="C404" s="6"/>
      <c r="D404" s="6"/>
      <c r="E404" s="6"/>
      <c r="F404" s="6"/>
      <c r="G404" s="6"/>
      <c r="H404" s="4"/>
      <c r="I404" s="4"/>
      <c r="J404" s="4"/>
      <c r="K404" s="4"/>
      <c r="L404" s="4"/>
      <c r="M404" s="4"/>
      <c r="N404" s="4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9"/>
      <c r="BJ404" s="19">
        <f t="shared" si="149"/>
        <v>0</v>
      </c>
      <c r="BK404" s="6"/>
      <c r="BL404" s="6"/>
      <c r="BM404" s="6"/>
      <c r="BN404" s="6"/>
      <c r="BO404" s="6"/>
    </row>
    <row r="405" spans="1:67" ht="13.4" customHeight="1">
      <c r="A405" s="6"/>
      <c r="B405" s="6"/>
      <c r="C405" s="6"/>
      <c r="D405" s="6"/>
      <c r="E405" s="6"/>
      <c r="F405" s="6"/>
      <c r="G405" s="6"/>
      <c r="H405" s="4"/>
      <c r="I405" s="4"/>
      <c r="J405" s="4"/>
      <c r="K405" s="4"/>
      <c r="L405" s="4"/>
      <c r="M405" s="4"/>
      <c r="N405" s="4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9"/>
      <c r="BJ405" s="19">
        <f t="shared" si="149"/>
        <v>0</v>
      </c>
      <c r="BK405" s="6"/>
      <c r="BL405" s="6"/>
      <c r="BM405" s="6"/>
      <c r="BN405" s="6"/>
      <c r="BO405" s="6"/>
    </row>
    <row r="406" spans="1:67" ht="13.4" customHeight="1">
      <c r="A406" s="6"/>
      <c r="B406" s="6"/>
      <c r="C406" s="6"/>
      <c r="D406" s="6"/>
      <c r="E406" s="6"/>
      <c r="F406" s="6"/>
      <c r="G406" s="6"/>
      <c r="H406" s="4"/>
      <c r="I406" s="4"/>
      <c r="J406" s="4"/>
      <c r="K406" s="4"/>
      <c r="L406" s="4"/>
      <c r="M406" s="4"/>
      <c r="N406" s="4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9"/>
      <c r="BJ406" s="19">
        <f t="shared" si="149"/>
        <v>0</v>
      </c>
      <c r="BK406" s="6"/>
      <c r="BL406" s="6"/>
      <c r="BM406" s="6"/>
      <c r="BN406" s="6"/>
      <c r="BO406" s="6"/>
    </row>
    <row r="407" spans="1:67" ht="13.4" customHeight="1">
      <c r="A407" s="6"/>
      <c r="B407" s="6"/>
      <c r="C407" s="6"/>
      <c r="D407" s="6"/>
      <c r="E407" s="6"/>
      <c r="F407" s="6"/>
      <c r="G407" s="6"/>
      <c r="H407" s="4"/>
      <c r="I407" s="4"/>
      <c r="J407" s="4"/>
      <c r="K407" s="4"/>
      <c r="L407" s="4"/>
      <c r="M407" s="4"/>
      <c r="N407" s="4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9"/>
      <c r="BJ407" s="19">
        <f t="shared" si="149"/>
        <v>0</v>
      </c>
      <c r="BK407" s="6"/>
      <c r="BL407" s="6"/>
      <c r="BM407" s="6"/>
      <c r="BN407" s="6"/>
      <c r="BO407" s="6"/>
    </row>
    <row r="408" spans="1:67" ht="13.4" customHeight="1">
      <c r="A408" s="6"/>
      <c r="B408" s="6"/>
      <c r="C408" s="6"/>
      <c r="D408" s="6"/>
      <c r="E408" s="6"/>
      <c r="F408" s="6"/>
      <c r="G408" s="6"/>
      <c r="H408" s="4"/>
      <c r="I408" s="4"/>
      <c r="J408" s="4"/>
      <c r="K408" s="4"/>
      <c r="L408" s="4"/>
      <c r="M408" s="4"/>
      <c r="N408" s="4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9"/>
      <c r="BJ408" s="19">
        <f t="shared" si="149"/>
        <v>0</v>
      </c>
      <c r="BK408" s="6"/>
      <c r="BL408" s="6"/>
      <c r="BM408" s="6"/>
      <c r="BN408" s="6"/>
      <c r="BO408" s="6"/>
    </row>
    <row r="409" spans="1:67" ht="13.4" customHeight="1">
      <c r="A409" s="6"/>
      <c r="B409" s="6"/>
      <c r="C409" s="6"/>
      <c r="D409" s="6"/>
      <c r="E409" s="6"/>
      <c r="F409" s="6"/>
      <c r="G409" s="6"/>
      <c r="H409" s="4"/>
      <c r="I409" s="4"/>
      <c r="J409" s="4"/>
      <c r="K409" s="4"/>
      <c r="L409" s="4"/>
      <c r="M409" s="4"/>
      <c r="N409" s="4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9"/>
      <c r="BJ409" s="19">
        <f t="shared" si="149"/>
        <v>0</v>
      </c>
      <c r="BK409" s="6"/>
      <c r="BL409" s="6"/>
      <c r="BM409" s="6"/>
      <c r="BN409" s="6"/>
      <c r="BO409" s="6"/>
    </row>
    <row r="410" spans="1:67" ht="13.4" customHeight="1">
      <c r="A410" s="6"/>
      <c r="B410" s="6"/>
      <c r="C410" s="6"/>
      <c r="D410" s="6"/>
      <c r="E410" s="6"/>
      <c r="F410" s="6"/>
      <c r="G410" s="6"/>
      <c r="H410" s="4"/>
      <c r="I410" s="4"/>
      <c r="J410" s="4"/>
      <c r="K410" s="4"/>
      <c r="L410" s="4"/>
      <c r="M410" s="4"/>
      <c r="N410" s="4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9"/>
      <c r="BJ410" s="19">
        <f t="shared" si="149"/>
        <v>0</v>
      </c>
      <c r="BK410" s="6"/>
      <c r="BL410" s="6"/>
      <c r="BM410" s="6"/>
      <c r="BN410" s="6"/>
      <c r="BO410" s="6"/>
    </row>
    <row r="411" spans="1:67" ht="13.4" customHeight="1">
      <c r="A411" s="6"/>
      <c r="B411" s="6"/>
      <c r="C411" s="6"/>
      <c r="D411" s="6"/>
      <c r="E411" s="6"/>
      <c r="F411" s="6"/>
      <c r="G411" s="6"/>
      <c r="H411" s="4"/>
      <c r="I411" s="4"/>
      <c r="J411" s="4"/>
      <c r="K411" s="4"/>
      <c r="L411" s="4"/>
      <c r="M411" s="4"/>
      <c r="N411" s="4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9"/>
      <c r="BJ411" s="19">
        <f t="shared" si="149"/>
        <v>0</v>
      </c>
      <c r="BK411" s="6"/>
      <c r="BL411" s="6"/>
      <c r="BM411" s="6"/>
      <c r="BN411" s="6"/>
      <c r="BO411" s="6"/>
    </row>
    <row r="412" spans="1:67" ht="13.4" customHeight="1">
      <c r="A412" s="6"/>
      <c r="B412" s="6"/>
      <c r="C412" s="6"/>
      <c r="D412" s="6"/>
      <c r="E412" s="6"/>
      <c r="F412" s="6"/>
      <c r="G412" s="6"/>
      <c r="H412" s="4"/>
      <c r="I412" s="4"/>
      <c r="J412" s="4"/>
      <c r="K412" s="4"/>
      <c r="L412" s="4"/>
      <c r="M412" s="4"/>
      <c r="N412" s="4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9"/>
      <c r="BJ412" s="19">
        <f t="shared" si="149"/>
        <v>0</v>
      </c>
      <c r="BK412" s="6"/>
      <c r="BL412" s="6"/>
      <c r="BM412" s="6"/>
      <c r="BN412" s="6"/>
      <c r="BO412" s="6"/>
    </row>
    <row r="413" spans="1:67" ht="13.4" customHeight="1">
      <c r="A413" s="6"/>
      <c r="B413" s="6"/>
      <c r="C413" s="6"/>
      <c r="D413" s="6"/>
      <c r="E413" s="6"/>
      <c r="F413" s="6"/>
      <c r="G413" s="6"/>
      <c r="H413" s="4"/>
      <c r="I413" s="4"/>
      <c r="J413" s="4"/>
      <c r="K413" s="4"/>
      <c r="L413" s="4"/>
      <c r="M413" s="4"/>
      <c r="N413" s="4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9"/>
      <c r="BJ413" s="19">
        <f t="shared" si="149"/>
        <v>0</v>
      </c>
      <c r="BK413" s="6"/>
      <c r="BL413" s="6"/>
      <c r="BM413" s="6"/>
      <c r="BN413" s="6"/>
      <c r="BO413" s="6"/>
    </row>
    <row r="414" spans="1:67" ht="13.4" customHeight="1">
      <c r="A414" s="6"/>
      <c r="B414" s="6"/>
      <c r="C414" s="6"/>
      <c r="D414" s="6"/>
      <c r="E414" s="6"/>
      <c r="F414" s="6"/>
      <c r="G414" s="6"/>
      <c r="H414" s="4"/>
      <c r="I414" s="4"/>
      <c r="J414" s="4"/>
      <c r="K414" s="4"/>
      <c r="L414" s="4"/>
      <c r="M414" s="4"/>
      <c r="N414" s="4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9"/>
      <c r="BJ414" s="19">
        <f t="shared" si="149"/>
        <v>0</v>
      </c>
      <c r="BK414" s="6"/>
      <c r="BL414" s="6"/>
      <c r="BM414" s="6"/>
      <c r="BN414" s="6"/>
      <c r="BO414" s="6"/>
    </row>
    <row r="415" spans="1:67" ht="13.4" customHeight="1">
      <c r="A415" s="6"/>
      <c r="B415" s="6"/>
      <c r="C415" s="6"/>
      <c r="D415" s="6"/>
      <c r="E415" s="6"/>
      <c r="F415" s="6"/>
      <c r="G415" s="6"/>
      <c r="H415" s="4"/>
      <c r="I415" s="4"/>
      <c r="J415" s="4"/>
      <c r="K415" s="4"/>
      <c r="L415" s="4"/>
      <c r="M415" s="4"/>
      <c r="N415" s="4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9"/>
      <c r="BJ415" s="19">
        <f t="shared" si="149"/>
        <v>0</v>
      </c>
      <c r="BK415" s="6"/>
      <c r="BL415" s="6"/>
      <c r="BM415" s="6"/>
      <c r="BN415" s="6"/>
      <c r="BO415" s="6"/>
    </row>
    <row r="416" spans="1:67" ht="13.4" customHeight="1">
      <c r="A416" s="6"/>
      <c r="B416" s="6"/>
      <c r="C416" s="6"/>
      <c r="D416" s="6"/>
      <c r="E416" s="6"/>
      <c r="F416" s="6"/>
      <c r="G416" s="6"/>
      <c r="H416" s="4"/>
      <c r="I416" s="4"/>
      <c r="J416" s="4"/>
      <c r="K416" s="4"/>
      <c r="L416" s="4"/>
      <c r="M416" s="4"/>
      <c r="N416" s="4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9"/>
      <c r="BJ416" s="19">
        <f t="shared" si="149"/>
        <v>0</v>
      </c>
      <c r="BK416" s="6"/>
      <c r="BL416" s="6"/>
      <c r="BM416" s="6"/>
      <c r="BN416" s="6"/>
      <c r="BO416" s="6"/>
    </row>
    <row r="417" spans="1:67" ht="13.4" customHeight="1">
      <c r="A417" s="6"/>
      <c r="B417" s="6"/>
      <c r="C417" s="6"/>
      <c r="D417" s="6"/>
      <c r="E417" s="6"/>
      <c r="F417" s="6"/>
      <c r="G417" s="6"/>
      <c r="H417" s="4"/>
      <c r="I417" s="4"/>
      <c r="J417" s="4"/>
      <c r="K417" s="4"/>
      <c r="L417" s="4"/>
      <c r="M417" s="4"/>
      <c r="N417" s="4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9"/>
      <c r="BJ417" s="19">
        <f t="shared" si="149"/>
        <v>0</v>
      </c>
      <c r="BK417" s="6"/>
      <c r="BL417" s="6"/>
      <c r="BM417" s="6"/>
      <c r="BN417" s="6"/>
      <c r="BO417" s="6"/>
    </row>
    <row r="418" spans="1:67" ht="13.4" customHeight="1">
      <c r="A418" s="6"/>
      <c r="B418" s="6"/>
      <c r="C418" s="6"/>
      <c r="D418" s="6"/>
      <c r="E418" s="6"/>
      <c r="F418" s="6"/>
      <c r="G418" s="6"/>
      <c r="H418" s="4"/>
      <c r="I418" s="4"/>
      <c r="J418" s="4"/>
      <c r="K418" s="4"/>
      <c r="L418" s="4"/>
      <c r="M418" s="4"/>
      <c r="N418" s="4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9"/>
      <c r="BJ418" s="19">
        <f t="shared" si="149"/>
        <v>0</v>
      </c>
      <c r="BK418" s="6"/>
      <c r="BL418" s="6"/>
      <c r="BM418" s="6"/>
      <c r="BN418" s="6"/>
      <c r="BO418" s="6"/>
    </row>
    <row r="419" spans="1:67" ht="13.4" customHeight="1">
      <c r="A419" s="6"/>
      <c r="B419" s="6"/>
      <c r="C419" s="6"/>
      <c r="D419" s="6"/>
      <c r="E419" s="6"/>
      <c r="F419" s="6"/>
      <c r="G419" s="6"/>
      <c r="H419" s="4"/>
      <c r="I419" s="4"/>
      <c r="J419" s="4"/>
      <c r="K419" s="4"/>
      <c r="L419" s="4"/>
      <c r="M419" s="4"/>
      <c r="N419" s="4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9"/>
      <c r="BJ419" s="19">
        <f t="shared" si="149"/>
        <v>0</v>
      </c>
      <c r="BK419" s="6"/>
      <c r="BL419" s="6"/>
      <c r="BM419" s="6"/>
      <c r="BN419" s="6"/>
      <c r="BO419" s="6"/>
    </row>
    <row r="420" spans="1:67" ht="13.4" customHeight="1">
      <c r="A420" s="6"/>
      <c r="B420" s="6"/>
      <c r="C420" s="6"/>
      <c r="D420" s="6"/>
      <c r="E420" s="6"/>
      <c r="F420" s="6"/>
      <c r="G420" s="6"/>
      <c r="H420" s="4"/>
      <c r="I420" s="4"/>
      <c r="J420" s="4"/>
      <c r="K420" s="4"/>
      <c r="L420" s="4"/>
      <c r="M420" s="4"/>
      <c r="N420" s="4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9"/>
      <c r="BJ420" s="19">
        <f t="shared" si="149"/>
        <v>0</v>
      </c>
      <c r="BK420" s="6"/>
      <c r="BL420" s="6"/>
      <c r="BM420" s="6"/>
      <c r="BN420" s="6"/>
      <c r="BO420" s="6"/>
    </row>
    <row r="421" spans="1:67" ht="13.4" customHeight="1">
      <c r="A421" s="6"/>
      <c r="B421" s="6"/>
      <c r="C421" s="6"/>
      <c r="D421" s="6"/>
      <c r="E421" s="6"/>
      <c r="F421" s="6"/>
      <c r="G421" s="6"/>
      <c r="H421" s="4"/>
      <c r="I421" s="4"/>
      <c r="J421" s="4"/>
      <c r="K421" s="4"/>
      <c r="L421" s="4"/>
      <c r="M421" s="4"/>
      <c r="N421" s="4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9"/>
      <c r="BJ421" s="19">
        <f t="shared" si="149"/>
        <v>0</v>
      </c>
      <c r="BK421" s="6"/>
      <c r="BL421" s="6"/>
      <c r="BM421" s="6"/>
      <c r="BN421" s="6"/>
      <c r="BO421" s="6"/>
    </row>
    <row r="422" spans="1:67" ht="13.4" customHeight="1">
      <c r="A422" s="6"/>
      <c r="B422" s="6"/>
      <c r="C422" s="6"/>
      <c r="D422" s="6"/>
      <c r="E422" s="6"/>
      <c r="F422" s="6"/>
      <c r="G422" s="6"/>
      <c r="H422" s="4"/>
      <c r="I422" s="4"/>
      <c r="J422" s="4"/>
      <c r="K422" s="4"/>
      <c r="L422" s="4"/>
      <c r="M422" s="4"/>
      <c r="N422" s="4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9"/>
      <c r="BJ422" s="19">
        <f t="shared" si="149"/>
        <v>0</v>
      </c>
      <c r="BK422" s="6"/>
      <c r="BL422" s="6"/>
      <c r="BM422" s="6"/>
      <c r="BN422" s="6"/>
      <c r="BO422" s="6"/>
    </row>
    <row r="423" spans="1:67" ht="13.4" customHeight="1">
      <c r="A423" s="6"/>
      <c r="B423" s="6"/>
      <c r="C423" s="6"/>
      <c r="D423" s="6"/>
      <c r="E423" s="6"/>
      <c r="F423" s="6"/>
      <c r="G423" s="6"/>
      <c r="H423" s="4"/>
      <c r="I423" s="4"/>
      <c r="J423" s="4"/>
      <c r="K423" s="4"/>
      <c r="L423" s="4"/>
      <c r="M423" s="4"/>
      <c r="N423" s="4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9"/>
      <c r="BJ423" s="19">
        <f t="shared" si="149"/>
        <v>0</v>
      </c>
      <c r="BK423" s="6"/>
      <c r="BL423" s="6"/>
      <c r="BM423" s="6"/>
      <c r="BN423" s="6"/>
      <c r="BO423" s="6"/>
    </row>
    <row r="424" spans="1:67" ht="13.4" customHeight="1">
      <c r="A424" s="6"/>
      <c r="B424" s="6"/>
      <c r="C424" s="6"/>
      <c r="D424" s="6"/>
      <c r="E424" s="6"/>
      <c r="F424" s="6"/>
      <c r="G424" s="6"/>
      <c r="H424" s="4"/>
      <c r="I424" s="4"/>
      <c r="J424" s="4"/>
      <c r="K424" s="4"/>
      <c r="L424" s="4"/>
      <c r="M424" s="4"/>
      <c r="N424" s="4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9"/>
      <c r="BJ424" s="19">
        <f t="shared" si="149"/>
        <v>0</v>
      </c>
      <c r="BK424" s="6"/>
      <c r="BL424" s="6"/>
      <c r="BM424" s="6"/>
      <c r="BN424" s="6"/>
      <c r="BO424" s="6"/>
    </row>
    <row r="425" spans="1:67" ht="13.4" customHeight="1">
      <c r="A425" s="6"/>
      <c r="B425" s="6"/>
      <c r="C425" s="6"/>
      <c r="D425" s="6"/>
      <c r="E425" s="6"/>
      <c r="F425" s="6"/>
      <c r="G425" s="6"/>
      <c r="H425" s="4"/>
      <c r="I425" s="4"/>
      <c r="J425" s="4"/>
      <c r="K425" s="4"/>
      <c r="L425" s="4"/>
      <c r="M425" s="4"/>
      <c r="N425" s="4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9"/>
      <c r="BJ425" s="19">
        <f t="shared" si="149"/>
        <v>0</v>
      </c>
      <c r="BK425" s="6"/>
      <c r="BL425" s="6"/>
      <c r="BM425" s="6"/>
      <c r="BN425" s="6"/>
      <c r="BO425" s="6"/>
    </row>
    <row r="426" spans="1:67" ht="13.4" customHeight="1">
      <c r="A426" s="6"/>
      <c r="B426" s="6"/>
      <c r="C426" s="6"/>
      <c r="D426" s="6"/>
      <c r="E426" s="6"/>
      <c r="F426" s="6"/>
      <c r="G426" s="6"/>
      <c r="H426" s="4"/>
      <c r="I426" s="4"/>
      <c r="J426" s="4"/>
      <c r="K426" s="4"/>
      <c r="L426" s="4"/>
      <c r="M426" s="4"/>
      <c r="N426" s="4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9"/>
      <c r="BJ426" s="19">
        <f t="shared" si="149"/>
        <v>0</v>
      </c>
      <c r="BK426" s="6"/>
      <c r="BL426" s="6"/>
      <c r="BM426" s="6"/>
      <c r="BN426" s="6"/>
      <c r="BO426" s="6"/>
    </row>
    <row r="427" spans="1:67" ht="13.4" customHeight="1">
      <c r="A427" s="6"/>
      <c r="B427" s="6"/>
      <c r="C427" s="6"/>
      <c r="D427" s="6"/>
      <c r="E427" s="6"/>
      <c r="F427" s="6"/>
      <c r="G427" s="6"/>
      <c r="H427" s="4"/>
      <c r="I427" s="4"/>
      <c r="J427" s="4"/>
      <c r="K427" s="4"/>
      <c r="L427" s="4"/>
      <c r="M427" s="4"/>
      <c r="N427" s="4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9"/>
      <c r="BJ427" s="19">
        <f t="shared" si="149"/>
        <v>0</v>
      </c>
      <c r="BK427" s="6"/>
      <c r="BL427" s="6"/>
      <c r="BM427" s="6"/>
      <c r="BN427" s="6"/>
      <c r="BO427" s="6"/>
    </row>
    <row r="428" spans="1:67" ht="13.4" customHeight="1">
      <c r="A428" s="6"/>
      <c r="B428" s="6"/>
      <c r="C428" s="6"/>
      <c r="D428" s="6"/>
      <c r="E428" s="6"/>
      <c r="F428" s="6"/>
      <c r="G428" s="6"/>
      <c r="H428" s="4"/>
      <c r="I428" s="4"/>
      <c r="J428" s="4"/>
      <c r="K428" s="4"/>
      <c r="L428" s="4"/>
      <c r="M428" s="4"/>
      <c r="N428" s="4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9"/>
      <c r="BJ428" s="19">
        <f t="shared" si="149"/>
        <v>0</v>
      </c>
      <c r="BK428" s="6"/>
      <c r="BL428" s="6"/>
      <c r="BM428" s="6"/>
      <c r="BN428" s="6"/>
      <c r="BO428" s="6"/>
    </row>
    <row r="429" spans="1:67" ht="13.4" customHeight="1">
      <c r="A429" s="6"/>
      <c r="B429" s="6"/>
      <c r="C429" s="6"/>
      <c r="D429" s="6"/>
      <c r="E429" s="6"/>
      <c r="F429" s="6"/>
      <c r="G429" s="6"/>
      <c r="H429" s="4"/>
      <c r="I429" s="4"/>
      <c r="J429" s="4"/>
      <c r="K429" s="4"/>
      <c r="L429" s="4"/>
      <c r="M429" s="4"/>
      <c r="N429" s="4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9"/>
      <c r="BJ429" s="19">
        <f t="shared" si="149"/>
        <v>0</v>
      </c>
      <c r="BK429" s="6"/>
      <c r="BL429" s="6"/>
      <c r="BM429" s="6"/>
      <c r="BN429" s="6"/>
      <c r="BO429" s="6"/>
    </row>
    <row r="430" spans="1:67" ht="13.4" customHeight="1">
      <c r="A430" s="6"/>
      <c r="B430" s="6"/>
      <c r="C430" s="6"/>
      <c r="D430" s="6"/>
      <c r="E430" s="6"/>
      <c r="F430" s="6"/>
      <c r="G430" s="6"/>
      <c r="H430" s="4"/>
      <c r="I430" s="4"/>
      <c r="J430" s="4"/>
      <c r="K430" s="4"/>
      <c r="L430" s="4"/>
      <c r="M430" s="4"/>
      <c r="N430" s="4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9"/>
      <c r="BJ430" s="19">
        <f t="shared" si="149"/>
        <v>0</v>
      </c>
      <c r="BK430" s="6"/>
      <c r="BL430" s="6"/>
      <c r="BM430" s="6"/>
      <c r="BN430" s="6"/>
      <c r="BO430" s="6"/>
    </row>
    <row r="431" spans="1:67" ht="13.4" customHeight="1">
      <c r="A431" s="6"/>
      <c r="B431" s="6"/>
      <c r="C431" s="6"/>
      <c r="D431" s="6"/>
      <c r="E431" s="6"/>
      <c r="F431" s="6"/>
      <c r="G431" s="6"/>
      <c r="H431" s="4"/>
      <c r="I431" s="4"/>
      <c r="J431" s="4"/>
      <c r="K431" s="4"/>
      <c r="L431" s="4"/>
      <c r="M431" s="4"/>
      <c r="N431" s="4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9"/>
      <c r="BJ431" s="19">
        <f t="shared" si="149"/>
        <v>0</v>
      </c>
      <c r="BK431" s="6"/>
      <c r="BL431" s="6"/>
      <c r="BM431" s="6"/>
      <c r="BN431" s="6"/>
      <c r="BO431" s="6"/>
    </row>
    <row r="432" spans="1:67" ht="13.4" customHeight="1">
      <c r="A432" s="6"/>
      <c r="B432" s="6"/>
      <c r="C432" s="6"/>
      <c r="D432" s="6"/>
      <c r="E432" s="6"/>
      <c r="F432" s="6"/>
      <c r="G432" s="6"/>
      <c r="H432" s="4"/>
      <c r="I432" s="4"/>
      <c r="J432" s="4"/>
      <c r="K432" s="4"/>
      <c r="L432" s="4"/>
      <c r="M432" s="4"/>
      <c r="N432" s="4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9"/>
      <c r="BJ432" s="19">
        <f t="shared" si="149"/>
        <v>0</v>
      </c>
      <c r="BK432" s="6"/>
      <c r="BL432" s="6"/>
      <c r="BM432" s="6"/>
      <c r="BN432" s="6"/>
      <c r="BO432" s="6"/>
    </row>
    <row r="433" spans="1:67" ht="13.4" customHeight="1">
      <c r="A433" s="6"/>
      <c r="B433" s="6"/>
      <c r="C433" s="6"/>
      <c r="D433" s="6"/>
      <c r="E433" s="6"/>
      <c r="F433" s="6"/>
      <c r="G433" s="6"/>
      <c r="H433" s="4"/>
      <c r="I433" s="4"/>
      <c r="J433" s="4"/>
      <c r="K433" s="4"/>
      <c r="L433" s="4"/>
      <c r="M433" s="4"/>
      <c r="N433" s="4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9"/>
      <c r="BJ433" s="19">
        <f t="shared" si="149"/>
        <v>0</v>
      </c>
      <c r="BK433" s="6"/>
      <c r="BL433" s="6"/>
      <c r="BM433" s="6"/>
      <c r="BN433" s="6"/>
      <c r="BO433" s="6"/>
    </row>
    <row r="434" spans="1:67" ht="13.4" customHeight="1">
      <c r="A434" s="6"/>
      <c r="B434" s="6"/>
      <c r="C434" s="6"/>
      <c r="D434" s="6"/>
      <c r="E434" s="6"/>
      <c r="F434" s="6"/>
      <c r="G434" s="6"/>
      <c r="H434" s="4"/>
      <c r="I434" s="4"/>
      <c r="J434" s="4"/>
      <c r="K434" s="4"/>
      <c r="L434" s="4"/>
      <c r="M434" s="4"/>
      <c r="N434" s="4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9"/>
      <c r="BJ434" s="19">
        <f t="shared" si="149"/>
        <v>0</v>
      </c>
      <c r="BK434" s="6"/>
      <c r="BL434" s="6"/>
      <c r="BM434" s="6"/>
      <c r="BN434" s="6"/>
      <c r="BO434" s="6"/>
    </row>
    <row r="435" spans="1:67" ht="13.4" customHeight="1">
      <c r="A435" s="6"/>
      <c r="B435" s="6"/>
      <c r="C435" s="6"/>
      <c r="D435" s="6"/>
      <c r="E435" s="6"/>
      <c r="F435" s="6"/>
      <c r="G435" s="6"/>
      <c r="H435" s="4"/>
      <c r="I435" s="4"/>
      <c r="J435" s="4"/>
      <c r="K435" s="4"/>
      <c r="L435" s="4"/>
      <c r="M435" s="4"/>
      <c r="N435" s="4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9"/>
      <c r="BJ435" s="19">
        <f t="shared" si="149"/>
        <v>0</v>
      </c>
      <c r="BK435" s="6"/>
      <c r="BL435" s="6"/>
      <c r="BM435" s="6"/>
      <c r="BN435" s="6"/>
      <c r="BO435" s="6"/>
    </row>
    <row r="436" spans="1:67" ht="13.4" customHeight="1">
      <c r="A436" s="6"/>
      <c r="B436" s="6"/>
      <c r="C436" s="6"/>
      <c r="D436" s="6"/>
      <c r="E436" s="6"/>
      <c r="F436" s="6"/>
      <c r="G436" s="6"/>
      <c r="H436" s="4"/>
      <c r="I436" s="4"/>
      <c r="J436" s="4"/>
      <c r="K436" s="4"/>
      <c r="L436" s="4"/>
      <c r="M436" s="4"/>
      <c r="N436" s="4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9"/>
      <c r="BJ436" s="19">
        <f t="shared" si="149"/>
        <v>0</v>
      </c>
      <c r="BK436" s="6"/>
      <c r="BL436" s="6"/>
      <c r="BM436" s="6"/>
      <c r="BN436" s="6"/>
      <c r="BO436" s="6"/>
    </row>
    <row r="437" spans="1:67" ht="13.4" customHeight="1">
      <c r="A437" s="6"/>
      <c r="B437" s="6"/>
      <c r="C437" s="6"/>
      <c r="D437" s="6"/>
      <c r="E437" s="6"/>
      <c r="F437" s="6"/>
      <c r="G437" s="6"/>
      <c r="H437" s="4"/>
      <c r="I437" s="4"/>
      <c r="J437" s="4"/>
      <c r="K437" s="4"/>
      <c r="L437" s="4"/>
      <c r="M437" s="4"/>
      <c r="N437" s="4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9"/>
      <c r="BJ437" s="19">
        <f t="shared" si="149"/>
        <v>0</v>
      </c>
      <c r="BK437" s="6"/>
      <c r="BL437" s="6"/>
      <c r="BM437" s="6"/>
      <c r="BN437" s="6"/>
      <c r="BO437" s="6"/>
    </row>
    <row r="438" spans="1:67" ht="13.4" customHeight="1">
      <c r="A438" s="6"/>
      <c r="B438" s="6"/>
      <c r="C438" s="6"/>
      <c r="D438" s="6"/>
      <c r="E438" s="6"/>
      <c r="F438" s="6"/>
      <c r="G438" s="6"/>
      <c r="H438" s="4"/>
      <c r="I438" s="4"/>
      <c r="J438" s="4"/>
      <c r="K438" s="4"/>
      <c r="L438" s="4"/>
      <c r="M438" s="4"/>
      <c r="N438" s="4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9"/>
      <c r="BJ438" s="19">
        <f t="shared" si="149"/>
        <v>0</v>
      </c>
      <c r="BK438" s="6"/>
      <c r="BL438" s="6"/>
      <c r="BM438" s="6"/>
      <c r="BN438" s="6"/>
      <c r="BO438" s="6"/>
    </row>
    <row r="439" spans="1:67" ht="13.4" customHeight="1">
      <c r="A439" s="6"/>
      <c r="B439" s="6"/>
      <c r="C439" s="6"/>
      <c r="D439" s="6"/>
      <c r="E439" s="6"/>
      <c r="F439" s="6"/>
      <c r="G439" s="6"/>
      <c r="H439" s="4"/>
      <c r="I439" s="4"/>
      <c r="J439" s="4"/>
      <c r="K439" s="4"/>
      <c r="L439" s="4"/>
      <c r="M439" s="4"/>
      <c r="N439" s="4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9"/>
      <c r="BJ439" s="19">
        <f t="shared" si="149"/>
        <v>0</v>
      </c>
      <c r="BK439" s="6"/>
      <c r="BL439" s="6"/>
      <c r="BM439" s="6"/>
      <c r="BN439" s="6"/>
      <c r="BO439" s="6"/>
    </row>
    <row r="440" spans="1:67" ht="13.4" customHeight="1">
      <c r="A440" s="6"/>
      <c r="B440" s="6"/>
      <c r="C440" s="6"/>
      <c r="D440" s="6"/>
      <c r="E440" s="6"/>
      <c r="F440" s="6"/>
      <c r="G440" s="6"/>
      <c r="H440" s="4"/>
      <c r="I440" s="4"/>
      <c r="J440" s="4"/>
      <c r="K440" s="4"/>
      <c r="L440" s="4"/>
      <c r="M440" s="4"/>
      <c r="N440" s="4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9"/>
      <c r="BJ440" s="19">
        <f t="shared" si="149"/>
        <v>0</v>
      </c>
      <c r="BK440" s="6"/>
      <c r="BL440" s="6"/>
      <c r="BM440" s="6"/>
      <c r="BN440" s="6"/>
      <c r="BO440" s="6"/>
    </row>
    <row r="441" spans="1:67" ht="13.4" customHeight="1">
      <c r="A441" s="6"/>
      <c r="B441" s="6"/>
      <c r="C441" s="6"/>
      <c r="D441" s="6"/>
      <c r="E441" s="6"/>
      <c r="F441" s="6"/>
      <c r="G441" s="6"/>
      <c r="H441" s="4"/>
      <c r="I441" s="4"/>
      <c r="J441" s="4"/>
      <c r="K441" s="4"/>
      <c r="L441" s="4"/>
      <c r="M441" s="4"/>
      <c r="N441" s="4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9"/>
      <c r="BJ441" s="19">
        <f t="shared" si="149"/>
        <v>0</v>
      </c>
      <c r="BK441" s="6"/>
      <c r="BL441" s="6"/>
      <c r="BM441" s="6"/>
      <c r="BN441" s="6"/>
      <c r="BO441" s="6"/>
    </row>
    <row r="442" spans="1:67" ht="13.4" customHeight="1">
      <c r="A442" s="6"/>
      <c r="B442" s="6"/>
      <c r="C442" s="6"/>
      <c r="D442" s="6"/>
      <c r="E442" s="6"/>
      <c r="F442" s="6"/>
      <c r="G442" s="6"/>
      <c r="H442" s="4"/>
      <c r="I442" s="4"/>
      <c r="J442" s="4"/>
      <c r="K442" s="4"/>
      <c r="L442" s="4"/>
      <c r="M442" s="4"/>
      <c r="N442" s="4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9"/>
      <c r="BJ442" s="19">
        <f t="shared" si="149"/>
        <v>0</v>
      </c>
      <c r="BK442" s="6"/>
      <c r="BL442" s="6"/>
      <c r="BM442" s="6"/>
      <c r="BN442" s="6"/>
      <c r="BO442" s="6"/>
    </row>
    <row r="443" spans="1:67" ht="13.4" customHeight="1">
      <c r="A443" s="6"/>
      <c r="B443" s="6"/>
      <c r="C443" s="6"/>
      <c r="D443" s="6"/>
      <c r="E443" s="6"/>
      <c r="F443" s="6"/>
      <c r="G443" s="6"/>
      <c r="H443" s="4"/>
      <c r="I443" s="4"/>
      <c r="J443" s="4"/>
      <c r="K443" s="4"/>
      <c r="L443" s="4"/>
      <c r="M443" s="4"/>
      <c r="N443" s="4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9"/>
      <c r="BJ443" s="19">
        <f t="shared" si="149"/>
        <v>0</v>
      </c>
      <c r="BK443" s="6"/>
      <c r="BL443" s="6"/>
      <c r="BM443" s="6"/>
      <c r="BN443" s="6"/>
      <c r="BO443" s="6"/>
    </row>
    <row r="444" spans="1:67" ht="13.4" customHeight="1">
      <c r="A444" s="6"/>
      <c r="B444" s="6"/>
      <c r="C444" s="6"/>
      <c r="D444" s="6"/>
      <c r="E444" s="6"/>
      <c r="F444" s="6"/>
      <c r="G444" s="6"/>
      <c r="H444" s="4"/>
      <c r="I444" s="4"/>
      <c r="J444" s="4"/>
      <c r="K444" s="4"/>
      <c r="L444" s="4"/>
      <c r="M444" s="4"/>
      <c r="N444" s="4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9"/>
      <c r="BJ444" s="19">
        <f t="shared" si="149"/>
        <v>0</v>
      </c>
      <c r="BK444" s="6"/>
      <c r="BL444" s="6"/>
      <c r="BM444" s="6"/>
      <c r="BN444" s="6"/>
      <c r="BO444" s="6"/>
    </row>
    <row r="445" spans="1:67" ht="13.4" customHeight="1">
      <c r="A445" s="6"/>
      <c r="B445" s="6"/>
      <c r="C445" s="6"/>
      <c r="D445" s="6"/>
      <c r="E445" s="6"/>
      <c r="F445" s="6"/>
      <c r="G445" s="6"/>
      <c r="H445" s="4"/>
      <c r="I445" s="4"/>
      <c r="J445" s="4"/>
      <c r="K445" s="4"/>
      <c r="L445" s="4"/>
      <c r="M445" s="4"/>
      <c r="N445" s="4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9"/>
      <c r="BJ445" s="19">
        <f t="shared" si="149"/>
        <v>0</v>
      </c>
      <c r="BK445" s="6"/>
      <c r="BL445" s="6"/>
      <c r="BM445" s="6"/>
      <c r="BN445" s="6"/>
      <c r="BO445" s="6"/>
    </row>
    <row r="446" spans="1:67" ht="13.4" customHeight="1">
      <c r="A446" s="6"/>
      <c r="B446" s="6"/>
      <c r="C446" s="6"/>
      <c r="D446" s="6"/>
      <c r="E446" s="6"/>
      <c r="F446" s="6"/>
      <c r="G446" s="6"/>
      <c r="H446" s="4"/>
      <c r="I446" s="4"/>
      <c r="J446" s="4"/>
      <c r="K446" s="4"/>
      <c r="L446" s="4"/>
      <c r="M446" s="4"/>
      <c r="N446" s="4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9"/>
      <c r="BJ446" s="19">
        <f t="shared" si="149"/>
        <v>0</v>
      </c>
      <c r="BK446" s="6"/>
      <c r="BL446" s="6"/>
      <c r="BM446" s="6"/>
      <c r="BN446" s="6"/>
      <c r="BO446" s="6"/>
    </row>
    <row r="447" spans="1:67" ht="13.4" customHeight="1">
      <c r="A447" s="6"/>
      <c r="B447" s="6"/>
      <c r="C447" s="6"/>
      <c r="D447" s="6"/>
      <c r="E447" s="6"/>
      <c r="F447" s="6"/>
      <c r="G447" s="6"/>
      <c r="H447" s="4"/>
      <c r="I447" s="4"/>
      <c r="J447" s="4"/>
      <c r="K447" s="4"/>
      <c r="L447" s="4"/>
      <c r="M447" s="4"/>
      <c r="N447" s="4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9"/>
      <c r="BJ447" s="19">
        <f t="shared" si="149"/>
        <v>0</v>
      </c>
      <c r="BK447" s="6"/>
      <c r="BL447" s="6"/>
      <c r="BM447" s="6"/>
      <c r="BN447" s="6"/>
      <c r="BO447" s="6"/>
    </row>
    <row r="448" spans="1:67" ht="13.4" customHeight="1">
      <c r="A448" s="6"/>
      <c r="B448" s="6"/>
      <c r="C448" s="6"/>
      <c r="D448" s="6"/>
      <c r="E448" s="6"/>
      <c r="F448" s="6"/>
      <c r="G448" s="6"/>
      <c r="H448" s="4"/>
      <c r="I448" s="4"/>
      <c r="J448" s="4"/>
      <c r="K448" s="4"/>
      <c r="L448" s="4"/>
      <c r="M448" s="4"/>
      <c r="N448" s="4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9"/>
      <c r="BJ448" s="19">
        <f t="shared" si="149"/>
        <v>0</v>
      </c>
      <c r="BK448" s="6"/>
      <c r="BL448" s="6"/>
      <c r="BM448" s="6"/>
      <c r="BN448" s="6"/>
      <c r="BO448" s="6"/>
    </row>
    <row r="449" spans="1:67" ht="13.4" customHeight="1">
      <c r="A449" s="6"/>
      <c r="B449" s="6"/>
      <c r="C449" s="6"/>
      <c r="D449" s="6"/>
      <c r="E449" s="6"/>
      <c r="F449" s="6"/>
      <c r="G449" s="6"/>
      <c r="H449" s="4"/>
      <c r="I449" s="4"/>
      <c r="J449" s="4"/>
      <c r="K449" s="4"/>
      <c r="L449" s="4"/>
      <c r="M449" s="4"/>
      <c r="N449" s="4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9"/>
      <c r="BJ449" s="19">
        <f t="shared" si="149"/>
        <v>0</v>
      </c>
      <c r="BK449" s="6"/>
      <c r="BL449" s="6"/>
      <c r="BM449" s="6"/>
      <c r="BN449" s="6"/>
      <c r="BO449" s="6"/>
    </row>
    <row r="450" spans="1:67" ht="13.4" customHeight="1">
      <c r="A450" s="6"/>
      <c r="B450" s="6"/>
      <c r="C450" s="6"/>
      <c r="D450" s="6"/>
      <c r="E450" s="6"/>
      <c r="F450" s="6"/>
      <c r="G450" s="6"/>
      <c r="H450" s="4"/>
      <c r="I450" s="4"/>
      <c r="J450" s="4"/>
      <c r="K450" s="4"/>
      <c r="L450" s="4"/>
      <c r="M450" s="4"/>
      <c r="N450" s="4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9"/>
      <c r="BJ450" s="19">
        <f t="shared" si="149"/>
        <v>0</v>
      </c>
      <c r="BK450" s="6"/>
      <c r="BL450" s="6"/>
      <c r="BM450" s="6"/>
      <c r="BN450" s="6"/>
      <c r="BO450" s="6"/>
    </row>
    <row r="451" spans="1:67" ht="13.4" customHeight="1">
      <c r="A451" s="6"/>
      <c r="B451" s="6"/>
      <c r="C451" s="6"/>
      <c r="D451" s="6"/>
      <c r="E451" s="6"/>
      <c r="F451" s="6"/>
      <c r="G451" s="6"/>
      <c r="H451" s="4"/>
      <c r="I451" s="4"/>
      <c r="J451" s="4"/>
      <c r="K451" s="4"/>
      <c r="L451" s="4"/>
      <c r="M451" s="4"/>
      <c r="N451" s="4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9"/>
      <c r="BJ451" s="19">
        <f t="shared" ref="BJ451:BJ514" si="150">A451</f>
        <v>0</v>
      </c>
      <c r="BK451" s="6"/>
      <c r="BL451" s="6"/>
      <c r="BM451" s="6"/>
      <c r="BN451" s="6"/>
      <c r="BO451" s="6"/>
    </row>
    <row r="452" spans="1:67" ht="13.4" customHeight="1">
      <c r="A452" s="6"/>
      <c r="B452" s="6"/>
      <c r="C452" s="6"/>
      <c r="D452" s="6"/>
      <c r="E452" s="6"/>
      <c r="F452" s="6"/>
      <c r="G452" s="6"/>
      <c r="H452" s="4"/>
      <c r="I452" s="4"/>
      <c r="J452" s="4"/>
      <c r="K452" s="4"/>
      <c r="L452" s="4"/>
      <c r="M452" s="4"/>
      <c r="N452" s="4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9"/>
      <c r="BJ452" s="19">
        <f t="shared" si="150"/>
        <v>0</v>
      </c>
      <c r="BK452" s="6"/>
      <c r="BL452" s="6"/>
      <c r="BM452" s="6"/>
      <c r="BN452" s="6"/>
      <c r="BO452" s="6"/>
    </row>
    <row r="453" spans="1:67" ht="13.4" customHeight="1">
      <c r="A453" s="6"/>
      <c r="B453" s="6"/>
      <c r="C453" s="6"/>
      <c r="D453" s="6"/>
      <c r="E453" s="6"/>
      <c r="F453" s="6"/>
      <c r="G453" s="6"/>
      <c r="H453" s="4"/>
      <c r="I453" s="4"/>
      <c r="J453" s="4"/>
      <c r="K453" s="4"/>
      <c r="L453" s="4"/>
      <c r="M453" s="4"/>
      <c r="N453" s="4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9"/>
      <c r="BJ453" s="19">
        <f t="shared" si="150"/>
        <v>0</v>
      </c>
      <c r="BK453" s="6"/>
      <c r="BL453" s="6"/>
      <c r="BM453" s="6"/>
      <c r="BN453" s="6"/>
      <c r="BO453" s="6"/>
    </row>
    <row r="454" spans="1:67" ht="13.4" customHeight="1">
      <c r="A454" s="6"/>
      <c r="B454" s="6"/>
      <c r="C454" s="6"/>
      <c r="D454" s="6"/>
      <c r="E454" s="6"/>
      <c r="F454" s="6"/>
      <c r="G454" s="6"/>
      <c r="H454" s="4"/>
      <c r="I454" s="4"/>
      <c r="J454" s="4"/>
      <c r="K454" s="4"/>
      <c r="L454" s="4"/>
      <c r="M454" s="4"/>
      <c r="N454" s="4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9"/>
      <c r="BJ454" s="19">
        <f t="shared" si="150"/>
        <v>0</v>
      </c>
      <c r="BK454" s="6"/>
      <c r="BL454" s="6"/>
      <c r="BM454" s="6"/>
      <c r="BN454" s="6"/>
      <c r="BO454" s="6"/>
    </row>
    <row r="455" spans="1:67" ht="13.4" customHeight="1">
      <c r="A455" s="6"/>
      <c r="B455" s="6"/>
      <c r="C455" s="6"/>
      <c r="D455" s="6"/>
      <c r="E455" s="6"/>
      <c r="F455" s="6"/>
      <c r="G455" s="6"/>
      <c r="H455" s="4"/>
      <c r="I455" s="4"/>
      <c r="J455" s="4"/>
      <c r="K455" s="4"/>
      <c r="L455" s="4"/>
      <c r="M455" s="4"/>
      <c r="N455" s="4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9"/>
      <c r="BJ455" s="19">
        <f t="shared" si="150"/>
        <v>0</v>
      </c>
      <c r="BK455" s="6"/>
      <c r="BL455" s="6"/>
      <c r="BM455" s="6"/>
      <c r="BN455" s="6"/>
      <c r="BO455" s="6"/>
    </row>
    <row r="456" spans="1:67" ht="13.4" customHeight="1">
      <c r="A456" s="6"/>
      <c r="B456" s="6"/>
      <c r="C456" s="6"/>
      <c r="D456" s="6"/>
      <c r="E456" s="6"/>
      <c r="F456" s="6"/>
      <c r="G456" s="6"/>
      <c r="H456" s="4"/>
      <c r="I456" s="4"/>
      <c r="J456" s="4"/>
      <c r="K456" s="4"/>
      <c r="L456" s="4"/>
      <c r="M456" s="4"/>
      <c r="N456" s="4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9"/>
      <c r="BJ456" s="19">
        <f t="shared" si="150"/>
        <v>0</v>
      </c>
      <c r="BK456" s="6"/>
      <c r="BL456" s="6"/>
      <c r="BM456" s="6"/>
      <c r="BN456" s="6"/>
      <c r="BO456" s="6"/>
    </row>
    <row r="457" spans="1:67" ht="13.4" customHeight="1">
      <c r="A457" s="6"/>
      <c r="B457" s="6"/>
      <c r="C457" s="6"/>
      <c r="D457" s="6"/>
      <c r="E457" s="6"/>
      <c r="F457" s="6"/>
      <c r="G457" s="6"/>
      <c r="H457" s="4"/>
      <c r="I457" s="4"/>
      <c r="J457" s="4"/>
      <c r="K457" s="4"/>
      <c r="L457" s="4"/>
      <c r="M457" s="4"/>
      <c r="N457" s="4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9"/>
      <c r="BJ457" s="19">
        <f t="shared" si="150"/>
        <v>0</v>
      </c>
      <c r="BK457" s="6"/>
      <c r="BL457" s="6"/>
      <c r="BM457" s="6"/>
      <c r="BN457" s="6"/>
      <c r="BO457" s="6"/>
    </row>
    <row r="458" spans="1:67" ht="13.4" customHeight="1">
      <c r="A458" s="6"/>
      <c r="B458" s="6"/>
      <c r="C458" s="6"/>
      <c r="D458" s="6"/>
      <c r="E458" s="6"/>
      <c r="F458" s="6"/>
      <c r="G458" s="6"/>
      <c r="H458" s="4"/>
      <c r="I458" s="4"/>
      <c r="J458" s="4"/>
      <c r="K458" s="4"/>
      <c r="L458" s="4"/>
      <c r="M458" s="4"/>
      <c r="N458" s="4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9"/>
      <c r="BJ458" s="19">
        <f t="shared" si="150"/>
        <v>0</v>
      </c>
      <c r="BK458" s="6"/>
      <c r="BL458" s="6"/>
      <c r="BM458" s="6"/>
      <c r="BN458" s="6"/>
      <c r="BO458" s="6"/>
    </row>
    <row r="459" spans="1:67" ht="13.4" customHeight="1">
      <c r="A459" s="6"/>
      <c r="B459" s="6"/>
      <c r="C459" s="6"/>
      <c r="D459" s="6"/>
      <c r="E459" s="6"/>
      <c r="F459" s="6"/>
      <c r="G459" s="6"/>
      <c r="H459" s="4"/>
      <c r="I459" s="4"/>
      <c r="J459" s="4"/>
      <c r="K459" s="4"/>
      <c r="L459" s="4"/>
      <c r="M459" s="4"/>
      <c r="N459" s="4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9"/>
      <c r="BJ459" s="19">
        <f t="shared" si="150"/>
        <v>0</v>
      </c>
      <c r="BK459" s="6"/>
      <c r="BL459" s="6"/>
      <c r="BM459" s="6"/>
      <c r="BN459" s="6"/>
      <c r="BO459" s="6"/>
    </row>
    <row r="460" spans="1:67" ht="13.4" customHeight="1">
      <c r="A460" s="6"/>
      <c r="B460" s="6"/>
      <c r="C460" s="6"/>
      <c r="D460" s="6"/>
      <c r="E460" s="6"/>
      <c r="F460" s="6"/>
      <c r="G460" s="6"/>
      <c r="H460" s="4"/>
      <c r="I460" s="4"/>
      <c r="J460" s="4"/>
      <c r="K460" s="4"/>
      <c r="L460" s="4"/>
      <c r="M460" s="4"/>
      <c r="N460" s="4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9"/>
      <c r="BJ460" s="19">
        <f t="shared" si="150"/>
        <v>0</v>
      </c>
      <c r="BK460" s="6"/>
      <c r="BL460" s="6"/>
      <c r="BM460" s="6"/>
      <c r="BN460" s="6"/>
      <c r="BO460" s="6"/>
    </row>
    <row r="461" spans="1:67" ht="13.4" customHeight="1">
      <c r="A461" s="6"/>
      <c r="B461" s="6"/>
      <c r="C461" s="6"/>
      <c r="D461" s="6"/>
      <c r="E461" s="6"/>
      <c r="F461" s="6"/>
      <c r="G461" s="6"/>
      <c r="H461" s="4"/>
      <c r="I461" s="4"/>
      <c r="J461" s="4"/>
      <c r="K461" s="4"/>
      <c r="L461" s="4"/>
      <c r="M461" s="4"/>
      <c r="N461" s="4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9"/>
      <c r="BJ461" s="19">
        <f t="shared" si="150"/>
        <v>0</v>
      </c>
      <c r="BK461" s="6"/>
      <c r="BL461" s="6"/>
      <c r="BM461" s="6"/>
      <c r="BN461" s="6"/>
      <c r="BO461" s="6"/>
    </row>
    <row r="462" spans="1:67" ht="13.4" customHeight="1">
      <c r="A462" s="6"/>
      <c r="B462" s="6"/>
      <c r="C462" s="6"/>
      <c r="D462" s="6"/>
      <c r="E462" s="6"/>
      <c r="F462" s="6"/>
      <c r="G462" s="6"/>
      <c r="H462" s="4"/>
      <c r="I462" s="4"/>
      <c r="J462" s="4"/>
      <c r="K462" s="4"/>
      <c r="L462" s="4"/>
      <c r="M462" s="4"/>
      <c r="N462" s="4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9"/>
      <c r="BJ462" s="19">
        <f t="shared" si="150"/>
        <v>0</v>
      </c>
      <c r="BK462" s="6"/>
      <c r="BL462" s="6"/>
      <c r="BM462" s="6"/>
      <c r="BN462" s="6"/>
      <c r="BO462" s="6"/>
    </row>
    <row r="463" spans="1:67" ht="13.4" customHeight="1">
      <c r="A463" s="6"/>
      <c r="B463" s="6"/>
      <c r="C463" s="6"/>
      <c r="D463" s="6"/>
      <c r="E463" s="6"/>
      <c r="F463" s="6"/>
      <c r="G463" s="6"/>
      <c r="H463" s="4"/>
      <c r="I463" s="4"/>
      <c r="J463" s="4"/>
      <c r="K463" s="4"/>
      <c r="L463" s="4"/>
      <c r="M463" s="4"/>
      <c r="N463" s="4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9"/>
      <c r="BJ463" s="19">
        <f t="shared" si="150"/>
        <v>0</v>
      </c>
      <c r="BK463" s="6"/>
      <c r="BL463" s="6"/>
      <c r="BM463" s="6"/>
      <c r="BN463" s="6"/>
      <c r="BO463" s="6"/>
    </row>
    <row r="464" spans="1:67" ht="13.4" customHeight="1">
      <c r="A464" s="6"/>
      <c r="B464" s="6"/>
      <c r="C464" s="6"/>
      <c r="D464" s="6"/>
      <c r="E464" s="6"/>
      <c r="F464" s="6"/>
      <c r="G464" s="6"/>
      <c r="H464" s="4"/>
      <c r="I464" s="4"/>
      <c r="J464" s="4"/>
      <c r="K464" s="4"/>
      <c r="L464" s="4"/>
      <c r="M464" s="4"/>
      <c r="N464" s="4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9"/>
      <c r="BJ464" s="19">
        <f t="shared" si="150"/>
        <v>0</v>
      </c>
      <c r="BK464" s="6"/>
      <c r="BL464" s="6"/>
      <c r="BM464" s="6"/>
      <c r="BN464" s="6"/>
      <c r="BO464" s="6"/>
    </row>
    <row r="465" spans="1:67" ht="13.4" customHeight="1">
      <c r="A465" s="6"/>
      <c r="B465" s="6"/>
      <c r="C465" s="6"/>
      <c r="D465" s="6"/>
      <c r="E465" s="6"/>
      <c r="F465" s="6"/>
      <c r="G465" s="6"/>
      <c r="H465" s="4"/>
      <c r="I465" s="4"/>
      <c r="J465" s="4"/>
      <c r="K465" s="4"/>
      <c r="L465" s="4"/>
      <c r="M465" s="4"/>
      <c r="N465" s="4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9"/>
      <c r="BJ465" s="19">
        <f t="shared" si="150"/>
        <v>0</v>
      </c>
      <c r="BK465" s="6"/>
      <c r="BL465" s="6"/>
      <c r="BM465" s="6"/>
      <c r="BN465" s="6"/>
      <c r="BO465" s="6"/>
    </row>
    <row r="466" spans="1:67" ht="13.4" customHeight="1">
      <c r="A466" s="6"/>
      <c r="B466" s="6"/>
      <c r="C466" s="6"/>
      <c r="D466" s="6"/>
      <c r="E466" s="6"/>
      <c r="F466" s="6"/>
      <c r="G466" s="6"/>
      <c r="H466" s="4"/>
      <c r="I466" s="4"/>
      <c r="J466" s="4"/>
      <c r="K466" s="4"/>
      <c r="L466" s="4"/>
      <c r="M466" s="4"/>
      <c r="N466" s="4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9"/>
      <c r="BJ466" s="19">
        <f t="shared" si="150"/>
        <v>0</v>
      </c>
      <c r="BK466" s="6"/>
      <c r="BL466" s="6"/>
      <c r="BM466" s="6"/>
      <c r="BN466" s="6"/>
      <c r="BO466" s="6"/>
    </row>
    <row r="467" spans="1:67" ht="13.4" customHeight="1">
      <c r="A467" s="6"/>
      <c r="B467" s="6"/>
      <c r="C467" s="6"/>
      <c r="D467" s="6"/>
      <c r="E467" s="6"/>
      <c r="F467" s="6"/>
      <c r="G467" s="6"/>
      <c r="H467" s="4"/>
      <c r="I467" s="4"/>
      <c r="J467" s="4"/>
      <c r="K467" s="4"/>
      <c r="L467" s="4"/>
      <c r="M467" s="4"/>
      <c r="N467" s="4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9"/>
      <c r="BJ467" s="19">
        <f t="shared" si="150"/>
        <v>0</v>
      </c>
      <c r="BK467" s="6"/>
      <c r="BL467" s="6"/>
      <c r="BM467" s="6"/>
      <c r="BN467" s="6"/>
      <c r="BO467" s="6"/>
    </row>
    <row r="468" spans="1:67" ht="13.4" customHeight="1">
      <c r="A468" s="6"/>
      <c r="B468" s="6"/>
      <c r="C468" s="6"/>
      <c r="D468" s="6"/>
      <c r="E468" s="6"/>
      <c r="F468" s="6"/>
      <c r="G468" s="6"/>
      <c r="H468" s="4"/>
      <c r="I468" s="4"/>
      <c r="J468" s="4"/>
      <c r="K468" s="4"/>
      <c r="L468" s="4"/>
      <c r="M468" s="4"/>
      <c r="N468" s="4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9"/>
      <c r="BJ468" s="19">
        <f t="shared" si="150"/>
        <v>0</v>
      </c>
      <c r="BK468" s="6"/>
      <c r="BL468" s="6"/>
      <c r="BM468" s="6"/>
      <c r="BN468" s="6"/>
      <c r="BO468" s="6"/>
    </row>
    <row r="469" spans="1:67" ht="13.4" customHeight="1">
      <c r="A469" s="6"/>
      <c r="B469" s="6"/>
      <c r="C469" s="6"/>
      <c r="D469" s="6"/>
      <c r="E469" s="6"/>
      <c r="F469" s="6"/>
      <c r="G469" s="6"/>
      <c r="H469" s="4"/>
      <c r="I469" s="4"/>
      <c r="J469" s="4"/>
      <c r="K469" s="4"/>
      <c r="L469" s="4"/>
      <c r="M469" s="4"/>
      <c r="N469" s="4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9"/>
      <c r="BJ469" s="19">
        <f t="shared" si="150"/>
        <v>0</v>
      </c>
      <c r="BK469" s="6"/>
      <c r="BL469" s="6"/>
      <c r="BM469" s="6"/>
      <c r="BN469" s="6"/>
      <c r="BO469" s="6"/>
    </row>
    <row r="470" spans="1:67" ht="13.4" customHeight="1">
      <c r="A470" s="6"/>
      <c r="B470" s="6"/>
      <c r="C470" s="6"/>
      <c r="D470" s="6"/>
      <c r="E470" s="6"/>
      <c r="F470" s="6"/>
      <c r="G470" s="6"/>
      <c r="H470" s="4"/>
      <c r="I470" s="4"/>
      <c r="J470" s="4"/>
      <c r="K470" s="4"/>
      <c r="L470" s="4"/>
      <c r="M470" s="4"/>
      <c r="N470" s="4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9"/>
      <c r="BJ470" s="19">
        <f t="shared" si="150"/>
        <v>0</v>
      </c>
      <c r="BK470" s="6"/>
      <c r="BL470" s="6"/>
      <c r="BM470" s="6"/>
      <c r="BN470" s="6"/>
      <c r="BO470" s="6"/>
    </row>
    <row r="471" spans="1:67" ht="13.4" customHeight="1">
      <c r="A471" s="6"/>
      <c r="B471" s="6"/>
      <c r="C471" s="6"/>
      <c r="D471" s="6"/>
      <c r="E471" s="6"/>
      <c r="F471" s="6"/>
      <c r="G471" s="6"/>
      <c r="H471" s="4"/>
      <c r="I471" s="4"/>
      <c r="J471" s="4"/>
      <c r="K471" s="4"/>
      <c r="L471" s="4"/>
      <c r="M471" s="4"/>
      <c r="N471" s="4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9"/>
      <c r="BJ471" s="19">
        <f t="shared" si="150"/>
        <v>0</v>
      </c>
      <c r="BK471" s="6"/>
      <c r="BL471" s="6"/>
      <c r="BM471" s="6"/>
      <c r="BN471" s="6"/>
      <c r="BO471" s="6"/>
    </row>
    <row r="472" spans="1:67" ht="13.4" customHeight="1">
      <c r="A472" s="6"/>
      <c r="B472" s="6"/>
      <c r="C472" s="6"/>
      <c r="D472" s="6"/>
      <c r="E472" s="6"/>
      <c r="F472" s="6"/>
      <c r="G472" s="6"/>
      <c r="H472" s="4"/>
      <c r="I472" s="4"/>
      <c r="J472" s="4"/>
      <c r="K472" s="4"/>
      <c r="L472" s="4"/>
      <c r="M472" s="4"/>
      <c r="N472" s="4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9"/>
      <c r="BJ472" s="19">
        <f t="shared" si="150"/>
        <v>0</v>
      </c>
      <c r="BK472" s="6"/>
      <c r="BL472" s="6"/>
      <c r="BM472" s="6"/>
      <c r="BN472" s="6"/>
      <c r="BO472" s="6"/>
    </row>
    <row r="473" spans="1:67" ht="13.4" customHeight="1">
      <c r="A473" s="6"/>
      <c r="B473" s="6"/>
      <c r="C473" s="6"/>
      <c r="D473" s="6"/>
      <c r="E473" s="6"/>
      <c r="F473" s="6"/>
      <c r="G473" s="6"/>
      <c r="H473" s="4"/>
      <c r="I473" s="4"/>
      <c r="J473" s="4"/>
      <c r="K473" s="4"/>
      <c r="L473" s="4"/>
      <c r="M473" s="4"/>
      <c r="N473" s="4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9"/>
      <c r="BJ473" s="19">
        <f t="shared" si="150"/>
        <v>0</v>
      </c>
      <c r="BK473" s="6"/>
      <c r="BL473" s="6"/>
      <c r="BM473" s="6"/>
      <c r="BN473" s="6"/>
      <c r="BO473" s="6"/>
    </row>
    <row r="474" spans="1:67" ht="13.4" customHeight="1">
      <c r="A474" s="6"/>
      <c r="B474" s="6"/>
      <c r="C474" s="6"/>
      <c r="D474" s="6"/>
      <c r="E474" s="6"/>
      <c r="F474" s="6"/>
      <c r="G474" s="6"/>
      <c r="H474" s="4"/>
      <c r="I474" s="4"/>
      <c r="J474" s="4"/>
      <c r="K474" s="4"/>
      <c r="L474" s="4"/>
      <c r="M474" s="4"/>
      <c r="N474" s="4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9"/>
      <c r="BJ474" s="19">
        <f t="shared" si="150"/>
        <v>0</v>
      </c>
      <c r="BK474" s="6"/>
      <c r="BL474" s="6"/>
      <c r="BM474" s="6"/>
      <c r="BN474" s="6"/>
      <c r="BO474" s="6"/>
    </row>
    <row r="475" spans="1:67" ht="13.4" customHeight="1">
      <c r="A475" s="6"/>
      <c r="B475" s="6"/>
      <c r="C475" s="6"/>
      <c r="D475" s="6"/>
      <c r="E475" s="6"/>
      <c r="F475" s="6"/>
      <c r="G475" s="6"/>
      <c r="H475" s="4"/>
      <c r="I475" s="4"/>
      <c r="J475" s="4"/>
      <c r="K475" s="4"/>
      <c r="L475" s="4"/>
      <c r="M475" s="4"/>
      <c r="N475" s="4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9"/>
      <c r="BJ475" s="19">
        <f t="shared" si="150"/>
        <v>0</v>
      </c>
      <c r="BK475" s="6"/>
      <c r="BL475" s="6"/>
      <c r="BM475" s="6"/>
      <c r="BN475" s="6"/>
      <c r="BO475" s="6"/>
    </row>
    <row r="476" spans="1:67" ht="13.4" customHeight="1">
      <c r="A476" s="6"/>
      <c r="B476" s="6"/>
      <c r="C476" s="6"/>
      <c r="D476" s="6"/>
      <c r="E476" s="6"/>
      <c r="F476" s="6"/>
      <c r="G476" s="6"/>
      <c r="H476" s="4"/>
      <c r="I476" s="4"/>
      <c r="J476" s="4"/>
      <c r="K476" s="4"/>
      <c r="L476" s="4"/>
      <c r="M476" s="4"/>
      <c r="N476" s="4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9"/>
      <c r="BJ476" s="19">
        <f t="shared" si="150"/>
        <v>0</v>
      </c>
      <c r="BK476" s="6"/>
      <c r="BL476" s="6"/>
      <c r="BM476" s="6"/>
      <c r="BN476" s="6"/>
      <c r="BO476" s="6"/>
    </row>
    <row r="477" spans="1:67" ht="13.4" customHeight="1">
      <c r="A477" s="6"/>
      <c r="B477" s="6"/>
      <c r="C477" s="6"/>
      <c r="D477" s="6"/>
      <c r="E477" s="6"/>
      <c r="F477" s="6"/>
      <c r="G477" s="6"/>
      <c r="H477" s="4"/>
      <c r="I477" s="4"/>
      <c r="J477" s="4"/>
      <c r="K477" s="4"/>
      <c r="L477" s="4"/>
      <c r="M477" s="4"/>
      <c r="N477" s="4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9"/>
      <c r="BJ477" s="19">
        <f t="shared" si="150"/>
        <v>0</v>
      </c>
      <c r="BK477" s="6"/>
      <c r="BL477" s="6"/>
      <c r="BM477" s="6"/>
      <c r="BN477" s="6"/>
      <c r="BO477" s="6"/>
    </row>
    <row r="478" spans="1:67" ht="13.4" customHeight="1">
      <c r="A478" s="6"/>
      <c r="B478" s="6"/>
      <c r="C478" s="6"/>
      <c r="D478" s="6"/>
      <c r="E478" s="6"/>
      <c r="F478" s="6"/>
      <c r="G478" s="6"/>
      <c r="H478" s="4"/>
      <c r="I478" s="4"/>
      <c r="J478" s="4"/>
      <c r="K478" s="4"/>
      <c r="L478" s="4"/>
      <c r="M478" s="4"/>
      <c r="N478" s="4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9"/>
      <c r="BJ478" s="19">
        <f t="shared" si="150"/>
        <v>0</v>
      </c>
      <c r="BK478" s="6"/>
      <c r="BL478" s="6"/>
      <c r="BM478" s="6"/>
      <c r="BN478" s="6"/>
      <c r="BO478" s="6"/>
    </row>
    <row r="479" spans="1:67" ht="13.4" customHeight="1">
      <c r="A479" s="6"/>
      <c r="B479" s="6"/>
      <c r="C479" s="6"/>
      <c r="D479" s="6"/>
      <c r="E479" s="6"/>
      <c r="F479" s="6"/>
      <c r="G479" s="6"/>
      <c r="H479" s="4"/>
      <c r="I479" s="4"/>
      <c r="J479" s="4"/>
      <c r="K479" s="4"/>
      <c r="L479" s="4"/>
      <c r="M479" s="4"/>
      <c r="N479" s="4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9"/>
      <c r="BJ479" s="19">
        <f t="shared" si="150"/>
        <v>0</v>
      </c>
      <c r="BK479" s="6"/>
      <c r="BL479" s="6"/>
      <c r="BM479" s="6"/>
      <c r="BN479" s="6"/>
      <c r="BO479" s="6"/>
    </row>
    <row r="480" spans="1:67" ht="13.4" customHeight="1">
      <c r="A480" s="6"/>
      <c r="B480" s="6"/>
      <c r="C480" s="6"/>
      <c r="D480" s="6"/>
      <c r="E480" s="6"/>
      <c r="F480" s="6"/>
      <c r="G480" s="6"/>
      <c r="H480" s="4"/>
      <c r="I480" s="4"/>
      <c r="J480" s="4"/>
      <c r="K480" s="4"/>
      <c r="L480" s="4"/>
      <c r="M480" s="4"/>
      <c r="N480" s="4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9"/>
      <c r="BJ480" s="19">
        <f t="shared" si="150"/>
        <v>0</v>
      </c>
      <c r="BK480" s="6"/>
      <c r="BL480" s="6"/>
      <c r="BM480" s="6"/>
      <c r="BN480" s="6"/>
      <c r="BO480" s="6"/>
    </row>
    <row r="481" spans="1:67" ht="13.4" customHeight="1">
      <c r="A481" s="6"/>
      <c r="B481" s="6"/>
      <c r="C481" s="6"/>
      <c r="D481" s="6"/>
      <c r="E481" s="6"/>
      <c r="F481" s="6"/>
      <c r="G481" s="6"/>
      <c r="H481" s="4"/>
      <c r="I481" s="4"/>
      <c r="J481" s="4"/>
      <c r="K481" s="4"/>
      <c r="L481" s="4"/>
      <c r="M481" s="4"/>
      <c r="N481" s="4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9"/>
      <c r="BJ481" s="19">
        <f t="shared" si="150"/>
        <v>0</v>
      </c>
      <c r="BK481" s="6"/>
      <c r="BL481" s="6"/>
      <c r="BM481" s="6"/>
      <c r="BN481" s="6"/>
      <c r="BO481" s="6"/>
    </row>
    <row r="482" spans="1:67" ht="13.4" customHeight="1">
      <c r="A482" s="6"/>
      <c r="B482" s="6"/>
      <c r="C482" s="6"/>
      <c r="D482" s="6"/>
      <c r="E482" s="6"/>
      <c r="F482" s="6"/>
      <c r="G482" s="6"/>
      <c r="H482" s="4"/>
      <c r="I482" s="4"/>
      <c r="J482" s="4"/>
      <c r="K482" s="4"/>
      <c r="L482" s="4"/>
      <c r="M482" s="4"/>
      <c r="N482" s="4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9"/>
      <c r="BJ482" s="19">
        <f t="shared" si="150"/>
        <v>0</v>
      </c>
      <c r="BK482" s="6"/>
      <c r="BL482" s="6"/>
      <c r="BM482" s="6"/>
      <c r="BN482" s="6"/>
      <c r="BO482" s="6"/>
    </row>
    <row r="483" spans="1:67" ht="13.4" customHeight="1">
      <c r="A483" s="6"/>
      <c r="B483" s="6"/>
      <c r="C483" s="6"/>
      <c r="D483" s="6"/>
      <c r="E483" s="6"/>
      <c r="F483" s="6"/>
      <c r="G483" s="6"/>
      <c r="H483" s="4"/>
      <c r="I483" s="4"/>
      <c r="J483" s="4"/>
      <c r="K483" s="4"/>
      <c r="L483" s="4"/>
      <c r="M483" s="4"/>
      <c r="N483" s="4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9"/>
      <c r="BJ483" s="19">
        <f t="shared" si="150"/>
        <v>0</v>
      </c>
      <c r="BK483" s="6"/>
      <c r="BL483" s="6"/>
      <c r="BM483" s="6"/>
      <c r="BN483" s="6"/>
      <c r="BO483" s="6"/>
    </row>
    <row r="484" spans="1:67" ht="13.4" customHeight="1">
      <c r="A484" s="6"/>
      <c r="B484" s="6"/>
      <c r="C484" s="6"/>
      <c r="D484" s="6"/>
      <c r="E484" s="6"/>
      <c r="F484" s="6"/>
      <c r="G484" s="6"/>
      <c r="H484" s="4"/>
      <c r="I484" s="4"/>
      <c r="J484" s="4"/>
      <c r="K484" s="4"/>
      <c r="L484" s="4"/>
      <c r="M484" s="4"/>
      <c r="N484" s="4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9"/>
      <c r="BJ484" s="19">
        <f t="shared" si="150"/>
        <v>0</v>
      </c>
      <c r="BK484" s="6"/>
      <c r="BL484" s="6"/>
      <c r="BM484" s="6"/>
      <c r="BN484" s="6"/>
      <c r="BO484" s="6"/>
    </row>
    <row r="485" spans="1:67" ht="13.4" customHeight="1">
      <c r="A485" s="6"/>
      <c r="B485" s="6"/>
      <c r="C485" s="6"/>
      <c r="D485" s="6"/>
      <c r="E485" s="6"/>
      <c r="F485" s="6"/>
      <c r="G485" s="6"/>
      <c r="H485" s="4"/>
      <c r="I485" s="4"/>
      <c r="J485" s="4"/>
      <c r="K485" s="4"/>
      <c r="L485" s="4"/>
      <c r="M485" s="4"/>
      <c r="N485" s="4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9"/>
      <c r="BJ485" s="19">
        <f t="shared" si="150"/>
        <v>0</v>
      </c>
      <c r="BK485" s="6"/>
      <c r="BL485" s="6"/>
      <c r="BM485" s="6"/>
      <c r="BN485" s="6"/>
      <c r="BO485" s="6"/>
    </row>
    <row r="486" spans="1:67" ht="13.4" customHeight="1">
      <c r="A486" s="6"/>
      <c r="B486" s="6"/>
      <c r="C486" s="6"/>
      <c r="D486" s="6"/>
      <c r="E486" s="6"/>
      <c r="F486" s="6"/>
      <c r="G486" s="6"/>
      <c r="H486" s="4"/>
      <c r="I486" s="4"/>
      <c r="J486" s="4"/>
      <c r="K486" s="4"/>
      <c r="L486" s="4"/>
      <c r="M486" s="4"/>
      <c r="N486" s="4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9"/>
      <c r="BJ486" s="19">
        <f t="shared" si="150"/>
        <v>0</v>
      </c>
      <c r="BK486" s="6"/>
      <c r="BL486" s="6"/>
      <c r="BM486" s="6"/>
      <c r="BN486" s="6"/>
      <c r="BO486" s="6"/>
    </row>
    <row r="487" spans="1:67" ht="13.4" customHeight="1">
      <c r="A487" s="6"/>
      <c r="B487" s="6"/>
      <c r="C487" s="6"/>
      <c r="D487" s="6"/>
      <c r="E487" s="6"/>
      <c r="F487" s="6"/>
      <c r="G487" s="6"/>
      <c r="H487" s="4"/>
      <c r="I487" s="4"/>
      <c r="J487" s="4"/>
      <c r="K487" s="4"/>
      <c r="L487" s="4"/>
      <c r="M487" s="4"/>
      <c r="N487" s="4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9"/>
      <c r="BJ487" s="19">
        <f t="shared" si="150"/>
        <v>0</v>
      </c>
      <c r="BK487" s="6"/>
      <c r="BL487" s="6"/>
      <c r="BM487" s="6"/>
      <c r="BN487" s="6"/>
      <c r="BO487" s="6"/>
    </row>
    <row r="488" spans="1:67" ht="13.4" customHeight="1">
      <c r="A488" s="6"/>
      <c r="B488" s="6"/>
      <c r="C488" s="6"/>
      <c r="D488" s="6"/>
      <c r="E488" s="6"/>
      <c r="F488" s="6"/>
      <c r="G488" s="6"/>
      <c r="H488" s="4"/>
      <c r="I488" s="4"/>
      <c r="J488" s="4"/>
      <c r="K488" s="4"/>
      <c r="L488" s="4"/>
      <c r="M488" s="4"/>
      <c r="N488" s="4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9"/>
      <c r="BJ488" s="19">
        <f t="shared" si="150"/>
        <v>0</v>
      </c>
      <c r="BK488" s="6"/>
      <c r="BL488" s="6"/>
      <c r="BM488" s="6"/>
      <c r="BN488" s="6"/>
      <c r="BO488" s="6"/>
    </row>
    <row r="489" spans="1:67" ht="13.4" customHeight="1">
      <c r="A489" s="6"/>
      <c r="B489" s="6"/>
      <c r="C489" s="6"/>
      <c r="D489" s="6"/>
      <c r="E489" s="6"/>
      <c r="F489" s="6"/>
      <c r="G489" s="6"/>
      <c r="H489" s="4"/>
      <c r="I489" s="4"/>
      <c r="J489" s="4"/>
      <c r="K489" s="4"/>
      <c r="L489" s="4"/>
      <c r="M489" s="4"/>
      <c r="N489" s="4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9"/>
      <c r="BJ489" s="19">
        <f t="shared" si="150"/>
        <v>0</v>
      </c>
      <c r="BK489" s="6"/>
      <c r="BL489" s="6"/>
      <c r="BM489" s="6"/>
      <c r="BN489" s="6"/>
      <c r="BO489" s="6"/>
    </row>
    <row r="490" spans="1:67" ht="13.4" customHeight="1">
      <c r="A490" s="6"/>
      <c r="B490" s="6"/>
      <c r="C490" s="6"/>
      <c r="D490" s="6"/>
      <c r="E490" s="6"/>
      <c r="F490" s="6"/>
      <c r="G490" s="6"/>
      <c r="H490" s="4"/>
      <c r="I490" s="4"/>
      <c r="J490" s="4"/>
      <c r="K490" s="4"/>
      <c r="L490" s="4"/>
      <c r="M490" s="4"/>
      <c r="N490" s="4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9"/>
      <c r="BJ490" s="19">
        <f t="shared" si="150"/>
        <v>0</v>
      </c>
      <c r="BK490" s="6"/>
      <c r="BL490" s="6"/>
      <c r="BM490" s="6"/>
      <c r="BN490" s="6"/>
      <c r="BO490" s="6"/>
    </row>
    <row r="491" spans="1:67" ht="13.4" customHeight="1">
      <c r="A491" s="6"/>
      <c r="B491" s="6"/>
      <c r="C491" s="6"/>
      <c r="D491" s="6"/>
      <c r="E491" s="6"/>
      <c r="F491" s="6"/>
      <c r="G491" s="6"/>
      <c r="H491" s="4"/>
      <c r="I491" s="4"/>
      <c r="J491" s="4"/>
      <c r="K491" s="4"/>
      <c r="L491" s="4"/>
      <c r="M491" s="4"/>
      <c r="N491" s="4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9"/>
      <c r="BJ491" s="19">
        <f t="shared" si="150"/>
        <v>0</v>
      </c>
      <c r="BK491" s="6"/>
      <c r="BL491" s="6"/>
      <c r="BM491" s="6"/>
      <c r="BN491" s="6"/>
      <c r="BO491" s="6"/>
    </row>
    <row r="492" spans="1:67" ht="13.4" customHeight="1">
      <c r="A492" s="6"/>
      <c r="B492" s="6"/>
      <c r="C492" s="6"/>
      <c r="D492" s="6"/>
      <c r="E492" s="6"/>
      <c r="F492" s="6"/>
      <c r="G492" s="6"/>
      <c r="H492" s="4"/>
      <c r="I492" s="4"/>
      <c r="J492" s="4"/>
      <c r="K492" s="4"/>
      <c r="L492" s="4"/>
      <c r="M492" s="4"/>
      <c r="N492" s="4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9"/>
      <c r="BJ492" s="19">
        <f t="shared" si="150"/>
        <v>0</v>
      </c>
      <c r="BK492" s="6"/>
      <c r="BL492" s="6"/>
      <c r="BM492" s="6"/>
      <c r="BN492" s="6"/>
      <c r="BO492" s="6"/>
    </row>
    <row r="493" spans="1:67" ht="13.4" customHeight="1">
      <c r="A493" s="6"/>
      <c r="B493" s="6"/>
      <c r="C493" s="6"/>
      <c r="D493" s="6"/>
      <c r="E493" s="6"/>
      <c r="F493" s="6"/>
      <c r="G493" s="6"/>
      <c r="H493" s="4"/>
      <c r="I493" s="4"/>
      <c r="J493" s="4"/>
      <c r="K493" s="4"/>
      <c r="L493" s="4"/>
      <c r="M493" s="4"/>
      <c r="N493" s="4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9"/>
      <c r="BJ493" s="19">
        <f t="shared" si="150"/>
        <v>0</v>
      </c>
      <c r="BK493" s="6"/>
      <c r="BL493" s="6"/>
      <c r="BM493" s="6"/>
      <c r="BN493" s="6"/>
      <c r="BO493" s="6"/>
    </row>
    <row r="494" spans="1:67" ht="13.4" customHeight="1">
      <c r="A494" s="6"/>
      <c r="B494" s="6"/>
      <c r="C494" s="6"/>
      <c r="D494" s="6"/>
      <c r="E494" s="6"/>
      <c r="F494" s="6"/>
      <c r="G494" s="6"/>
      <c r="H494" s="4"/>
      <c r="I494" s="4"/>
      <c r="J494" s="4"/>
      <c r="K494" s="4"/>
      <c r="L494" s="4"/>
      <c r="M494" s="4"/>
      <c r="N494" s="4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9"/>
      <c r="BJ494" s="19">
        <f t="shared" si="150"/>
        <v>0</v>
      </c>
      <c r="BK494" s="6"/>
      <c r="BL494" s="6"/>
      <c r="BM494" s="6"/>
      <c r="BN494" s="6"/>
      <c r="BO494" s="6"/>
    </row>
    <row r="495" spans="1:67" ht="13.4" customHeight="1">
      <c r="A495" s="6"/>
      <c r="B495" s="6"/>
      <c r="C495" s="6"/>
      <c r="D495" s="6"/>
      <c r="E495" s="6"/>
      <c r="F495" s="6"/>
      <c r="G495" s="6"/>
      <c r="H495" s="4"/>
      <c r="I495" s="4"/>
      <c r="J495" s="4"/>
      <c r="K495" s="4"/>
      <c r="L495" s="4"/>
      <c r="M495" s="4"/>
      <c r="N495" s="4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9"/>
      <c r="BJ495" s="19">
        <f t="shared" si="150"/>
        <v>0</v>
      </c>
      <c r="BK495" s="6"/>
      <c r="BL495" s="6"/>
      <c r="BM495" s="6"/>
      <c r="BN495" s="6"/>
      <c r="BO495" s="6"/>
    </row>
    <row r="496" spans="1:67" ht="13.4" customHeight="1">
      <c r="A496" s="6"/>
      <c r="B496" s="6"/>
      <c r="C496" s="6"/>
      <c r="D496" s="6"/>
      <c r="E496" s="6"/>
      <c r="F496" s="6"/>
      <c r="G496" s="6"/>
      <c r="H496" s="4"/>
      <c r="I496" s="4"/>
      <c r="J496" s="4"/>
      <c r="K496" s="4"/>
      <c r="L496" s="4"/>
      <c r="M496" s="4"/>
      <c r="N496" s="4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9"/>
      <c r="BJ496" s="19">
        <f t="shared" si="150"/>
        <v>0</v>
      </c>
      <c r="BK496" s="6"/>
      <c r="BL496" s="6"/>
      <c r="BM496" s="6"/>
      <c r="BN496" s="6"/>
      <c r="BO496" s="6"/>
    </row>
    <row r="497" spans="1:67" ht="13.4" customHeight="1">
      <c r="A497" s="6"/>
      <c r="B497" s="6"/>
      <c r="C497" s="6"/>
      <c r="D497" s="6"/>
      <c r="E497" s="6"/>
      <c r="F497" s="6"/>
      <c r="G497" s="6"/>
      <c r="H497" s="4"/>
      <c r="I497" s="4"/>
      <c r="J497" s="4"/>
      <c r="K497" s="4"/>
      <c r="L497" s="4"/>
      <c r="M497" s="4"/>
      <c r="N497" s="4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9"/>
      <c r="BJ497" s="19">
        <f t="shared" si="150"/>
        <v>0</v>
      </c>
      <c r="BK497" s="6"/>
      <c r="BL497" s="6"/>
      <c r="BM497" s="6"/>
      <c r="BN497" s="6"/>
      <c r="BO497" s="6"/>
    </row>
    <row r="498" spans="1:67" ht="13.4" customHeight="1">
      <c r="A498" s="6"/>
      <c r="B498" s="6"/>
      <c r="C498" s="6"/>
      <c r="D498" s="6"/>
      <c r="E498" s="6"/>
      <c r="F498" s="6"/>
      <c r="G498" s="6"/>
      <c r="H498" s="4"/>
      <c r="I498" s="4"/>
      <c r="J498" s="4"/>
      <c r="K498" s="4"/>
      <c r="L498" s="4"/>
      <c r="M498" s="4"/>
      <c r="N498" s="4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9"/>
      <c r="BJ498" s="19">
        <f t="shared" si="150"/>
        <v>0</v>
      </c>
      <c r="BK498" s="6"/>
      <c r="BL498" s="6"/>
      <c r="BM498" s="6"/>
      <c r="BN498" s="6"/>
      <c r="BO498" s="6"/>
    </row>
    <row r="499" spans="1:67" ht="13.4" customHeight="1">
      <c r="A499" s="6"/>
      <c r="B499" s="6"/>
      <c r="C499" s="6"/>
      <c r="D499" s="6"/>
      <c r="E499" s="6"/>
      <c r="F499" s="6"/>
      <c r="G499" s="6"/>
      <c r="H499" s="4"/>
      <c r="I499" s="4"/>
      <c r="J499" s="4"/>
      <c r="K499" s="4"/>
      <c r="L499" s="4"/>
      <c r="M499" s="4"/>
      <c r="N499" s="4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9"/>
      <c r="BJ499" s="19">
        <f t="shared" si="150"/>
        <v>0</v>
      </c>
      <c r="BK499" s="6"/>
      <c r="BL499" s="6"/>
      <c r="BM499" s="6"/>
      <c r="BN499" s="6"/>
      <c r="BO499" s="6"/>
    </row>
    <row r="500" spans="1:67" ht="13.4" customHeight="1">
      <c r="A500" s="6"/>
      <c r="B500" s="6"/>
      <c r="C500" s="6"/>
      <c r="D500" s="6"/>
      <c r="E500" s="6"/>
      <c r="F500" s="6"/>
      <c r="G500" s="6"/>
      <c r="H500" s="4"/>
      <c r="I500" s="4"/>
      <c r="J500" s="4"/>
      <c r="K500" s="4"/>
      <c r="L500" s="4"/>
      <c r="M500" s="4"/>
      <c r="N500" s="4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9"/>
      <c r="BJ500" s="19">
        <f t="shared" si="150"/>
        <v>0</v>
      </c>
      <c r="BK500" s="6"/>
      <c r="BL500" s="6"/>
      <c r="BM500" s="6"/>
      <c r="BN500" s="6"/>
      <c r="BO500" s="6"/>
    </row>
    <row r="501" spans="1:67" ht="13.4" customHeight="1">
      <c r="A501" s="6"/>
      <c r="B501" s="6"/>
      <c r="C501" s="6"/>
      <c r="D501" s="6"/>
      <c r="E501" s="6"/>
      <c r="F501" s="6"/>
      <c r="G501" s="6"/>
      <c r="H501" s="4"/>
      <c r="I501" s="4"/>
      <c r="J501" s="4"/>
      <c r="K501" s="4"/>
      <c r="L501" s="4"/>
      <c r="M501" s="4"/>
      <c r="N501" s="4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9"/>
      <c r="BJ501" s="19">
        <f t="shared" si="150"/>
        <v>0</v>
      </c>
      <c r="BK501" s="6"/>
      <c r="BL501" s="6"/>
      <c r="BM501" s="6"/>
      <c r="BN501" s="6"/>
      <c r="BO501" s="6"/>
    </row>
    <row r="502" spans="1:67" ht="13.4" customHeight="1">
      <c r="A502" s="6"/>
      <c r="B502" s="6"/>
      <c r="C502" s="6"/>
      <c r="D502" s="6"/>
      <c r="E502" s="6"/>
      <c r="F502" s="6"/>
      <c r="G502" s="6"/>
      <c r="H502" s="4"/>
      <c r="I502" s="4"/>
      <c r="J502" s="4"/>
      <c r="K502" s="4"/>
      <c r="L502" s="4"/>
      <c r="M502" s="4"/>
      <c r="N502" s="4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9"/>
      <c r="BJ502" s="19">
        <f t="shared" si="150"/>
        <v>0</v>
      </c>
      <c r="BK502" s="6"/>
      <c r="BL502" s="6"/>
      <c r="BM502" s="6"/>
      <c r="BN502" s="6"/>
      <c r="BO502" s="6"/>
    </row>
    <row r="503" spans="1:67" ht="13.4" customHeight="1">
      <c r="A503" s="6"/>
      <c r="B503" s="6"/>
      <c r="C503" s="6"/>
      <c r="D503" s="6"/>
      <c r="E503" s="6"/>
      <c r="F503" s="6"/>
      <c r="G503" s="6"/>
      <c r="H503" s="4"/>
      <c r="I503" s="4"/>
      <c r="J503" s="4"/>
      <c r="K503" s="4"/>
      <c r="L503" s="4"/>
      <c r="M503" s="4"/>
      <c r="N503" s="4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9"/>
      <c r="BJ503" s="19">
        <f t="shared" si="150"/>
        <v>0</v>
      </c>
      <c r="BK503" s="6"/>
      <c r="BL503" s="6"/>
      <c r="BM503" s="6"/>
      <c r="BN503" s="6"/>
      <c r="BO503" s="6"/>
    </row>
    <row r="504" spans="1:67" ht="13.4" customHeight="1">
      <c r="A504" s="6"/>
      <c r="B504" s="6"/>
      <c r="C504" s="6"/>
      <c r="D504" s="6"/>
      <c r="E504" s="6"/>
      <c r="F504" s="6"/>
      <c r="G504" s="6"/>
      <c r="H504" s="4"/>
      <c r="I504" s="4"/>
      <c r="J504" s="4"/>
      <c r="K504" s="4"/>
      <c r="L504" s="4"/>
      <c r="M504" s="4"/>
      <c r="N504" s="4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9"/>
      <c r="BJ504" s="19">
        <f t="shared" si="150"/>
        <v>0</v>
      </c>
      <c r="BK504" s="6"/>
      <c r="BL504" s="6"/>
      <c r="BM504" s="6"/>
      <c r="BN504" s="6"/>
      <c r="BO504" s="6"/>
    </row>
    <row r="505" spans="1:67" ht="13.4" customHeight="1">
      <c r="A505" s="6"/>
      <c r="B505" s="6"/>
      <c r="C505" s="6"/>
      <c r="D505" s="6"/>
      <c r="E505" s="6"/>
      <c r="F505" s="6"/>
      <c r="G505" s="6"/>
      <c r="H505" s="4"/>
      <c r="I505" s="4"/>
      <c r="J505" s="4"/>
      <c r="K505" s="4"/>
      <c r="L505" s="4"/>
      <c r="M505" s="4"/>
      <c r="N505" s="4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9"/>
      <c r="BJ505" s="19">
        <f t="shared" si="150"/>
        <v>0</v>
      </c>
      <c r="BK505" s="6"/>
      <c r="BL505" s="6"/>
      <c r="BM505" s="6"/>
      <c r="BN505" s="6"/>
      <c r="BO505" s="6"/>
    </row>
    <row r="506" spans="1:67" ht="13.4" customHeight="1">
      <c r="A506" s="6"/>
      <c r="B506" s="6"/>
      <c r="C506" s="6"/>
      <c r="D506" s="6"/>
      <c r="E506" s="6"/>
      <c r="F506" s="6"/>
      <c r="G506" s="6"/>
      <c r="H506" s="4"/>
      <c r="I506" s="4"/>
      <c r="J506" s="4"/>
      <c r="K506" s="4"/>
      <c r="L506" s="4"/>
      <c r="M506" s="4"/>
      <c r="N506" s="4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9"/>
      <c r="BJ506" s="19">
        <f t="shared" si="150"/>
        <v>0</v>
      </c>
      <c r="BK506" s="6"/>
      <c r="BL506" s="6"/>
      <c r="BM506" s="6"/>
      <c r="BN506" s="6"/>
      <c r="BO506" s="6"/>
    </row>
    <row r="507" spans="1:67" ht="13.4" customHeight="1">
      <c r="A507" s="6"/>
      <c r="B507" s="6"/>
      <c r="C507" s="6"/>
      <c r="D507" s="6"/>
      <c r="E507" s="6"/>
      <c r="F507" s="6"/>
      <c r="G507" s="6"/>
      <c r="H507" s="4"/>
      <c r="I507" s="4"/>
      <c r="J507" s="4"/>
      <c r="K507" s="4"/>
      <c r="L507" s="4"/>
      <c r="M507" s="4"/>
      <c r="N507" s="4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9"/>
      <c r="BJ507" s="19">
        <f t="shared" si="150"/>
        <v>0</v>
      </c>
      <c r="BK507" s="6"/>
      <c r="BL507" s="6"/>
      <c r="BM507" s="6"/>
      <c r="BN507" s="6"/>
      <c r="BO507" s="6"/>
    </row>
    <row r="508" spans="1:67" ht="13.4" customHeight="1">
      <c r="A508" s="6"/>
      <c r="B508" s="6"/>
      <c r="C508" s="6"/>
      <c r="D508" s="6"/>
      <c r="E508" s="6"/>
      <c r="F508" s="6"/>
      <c r="G508" s="6"/>
      <c r="H508" s="4"/>
      <c r="I508" s="4"/>
      <c r="J508" s="4"/>
      <c r="K508" s="4"/>
      <c r="L508" s="4"/>
      <c r="M508" s="4"/>
      <c r="N508" s="4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9"/>
      <c r="BJ508" s="19">
        <f t="shared" si="150"/>
        <v>0</v>
      </c>
      <c r="BK508" s="6"/>
      <c r="BL508" s="6"/>
      <c r="BM508" s="6"/>
      <c r="BN508" s="6"/>
      <c r="BO508" s="6"/>
    </row>
    <row r="509" spans="1:67" ht="13.4" customHeight="1">
      <c r="A509" s="6"/>
      <c r="B509" s="6"/>
      <c r="C509" s="6"/>
      <c r="D509" s="6"/>
      <c r="E509" s="6"/>
      <c r="F509" s="6"/>
      <c r="G509" s="6"/>
      <c r="H509" s="4"/>
      <c r="I509" s="4"/>
      <c r="J509" s="4"/>
      <c r="K509" s="4"/>
      <c r="L509" s="4"/>
      <c r="M509" s="4"/>
      <c r="N509" s="4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9"/>
      <c r="BJ509" s="19">
        <f t="shared" si="150"/>
        <v>0</v>
      </c>
      <c r="BK509" s="6"/>
      <c r="BL509" s="6"/>
      <c r="BM509" s="6"/>
      <c r="BN509" s="6"/>
      <c r="BO509" s="6"/>
    </row>
    <row r="510" spans="1:67" ht="13.4" customHeight="1">
      <c r="A510" s="6"/>
      <c r="B510" s="6"/>
      <c r="C510" s="6"/>
      <c r="D510" s="6"/>
      <c r="E510" s="6"/>
      <c r="F510" s="6"/>
      <c r="G510" s="6"/>
      <c r="H510" s="4"/>
      <c r="I510" s="4"/>
      <c r="J510" s="4"/>
      <c r="K510" s="4"/>
      <c r="L510" s="4"/>
      <c r="M510" s="4"/>
      <c r="N510" s="4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9"/>
      <c r="BJ510" s="19">
        <f t="shared" si="150"/>
        <v>0</v>
      </c>
      <c r="BK510" s="6"/>
      <c r="BL510" s="6"/>
      <c r="BM510" s="6"/>
      <c r="BN510" s="6"/>
      <c r="BO510" s="6"/>
    </row>
    <row r="511" spans="1:67" ht="13.4" customHeight="1">
      <c r="A511" s="6"/>
      <c r="B511" s="6"/>
      <c r="C511" s="6"/>
      <c r="D511" s="6"/>
      <c r="E511" s="6"/>
      <c r="F511" s="6"/>
      <c r="G511" s="6"/>
      <c r="H511" s="4"/>
      <c r="I511" s="4"/>
      <c r="J511" s="4"/>
      <c r="K511" s="4"/>
      <c r="L511" s="4"/>
      <c r="M511" s="4"/>
      <c r="N511" s="4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9"/>
      <c r="BJ511" s="19">
        <f t="shared" si="150"/>
        <v>0</v>
      </c>
      <c r="BK511" s="6"/>
      <c r="BL511" s="6"/>
      <c r="BM511" s="6"/>
      <c r="BN511" s="6"/>
      <c r="BO511" s="6"/>
    </row>
    <row r="512" spans="1:67" ht="13.4" customHeight="1">
      <c r="A512" s="6"/>
      <c r="B512" s="6"/>
      <c r="C512" s="6"/>
      <c r="D512" s="6"/>
      <c r="E512" s="6"/>
      <c r="F512" s="6"/>
      <c r="G512" s="6"/>
      <c r="H512" s="4"/>
      <c r="I512" s="4"/>
      <c r="J512" s="4"/>
      <c r="K512" s="4"/>
      <c r="L512" s="4"/>
      <c r="M512" s="4"/>
      <c r="N512" s="4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9"/>
      <c r="BJ512" s="19">
        <f t="shared" si="150"/>
        <v>0</v>
      </c>
      <c r="BK512" s="6"/>
      <c r="BL512" s="6"/>
      <c r="BM512" s="6"/>
      <c r="BN512" s="6"/>
      <c r="BO512" s="6"/>
    </row>
    <row r="513" spans="1:67" ht="13.4" customHeight="1">
      <c r="A513" s="6"/>
      <c r="B513" s="6"/>
      <c r="C513" s="6"/>
      <c r="D513" s="6"/>
      <c r="E513" s="6"/>
      <c r="F513" s="6"/>
      <c r="G513" s="6"/>
      <c r="H513" s="4"/>
      <c r="I513" s="4"/>
      <c r="J513" s="4"/>
      <c r="K513" s="4"/>
      <c r="L513" s="4"/>
      <c r="M513" s="4"/>
      <c r="N513" s="4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9"/>
      <c r="BJ513" s="19">
        <f t="shared" si="150"/>
        <v>0</v>
      </c>
      <c r="BK513" s="6"/>
      <c r="BL513" s="6"/>
      <c r="BM513" s="6"/>
      <c r="BN513" s="6"/>
      <c r="BO513" s="6"/>
    </row>
    <row r="514" spans="1:67" ht="13.4" customHeight="1">
      <c r="A514" s="6"/>
      <c r="B514" s="6"/>
      <c r="C514" s="6"/>
      <c r="D514" s="6"/>
      <c r="E514" s="6"/>
      <c r="F514" s="6"/>
      <c r="G514" s="6"/>
      <c r="H514" s="4"/>
      <c r="I514" s="4"/>
      <c r="J514" s="4"/>
      <c r="K514" s="4"/>
      <c r="L514" s="4"/>
      <c r="M514" s="4"/>
      <c r="N514" s="4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9"/>
      <c r="BJ514" s="19">
        <f t="shared" si="150"/>
        <v>0</v>
      </c>
      <c r="BK514" s="6"/>
      <c r="BL514" s="6"/>
      <c r="BM514" s="6"/>
      <c r="BN514" s="6"/>
      <c r="BO514" s="6"/>
    </row>
    <row r="515" spans="1:67" ht="13.4" customHeight="1">
      <c r="A515" s="6"/>
      <c r="B515" s="6"/>
      <c r="C515" s="6"/>
      <c r="D515" s="6"/>
      <c r="E515" s="6"/>
      <c r="F515" s="6"/>
      <c r="G515" s="6"/>
      <c r="H515" s="4"/>
      <c r="I515" s="4"/>
      <c r="J515" s="4"/>
      <c r="K515" s="4"/>
      <c r="L515" s="4"/>
      <c r="M515" s="4"/>
      <c r="N515" s="4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9"/>
      <c r="BJ515" s="19">
        <f t="shared" ref="BJ515:BJ578" si="151">A515</f>
        <v>0</v>
      </c>
      <c r="BK515" s="6"/>
      <c r="BL515" s="6"/>
      <c r="BM515" s="6"/>
      <c r="BN515" s="6"/>
      <c r="BO515" s="6"/>
    </row>
    <row r="516" spans="1:67" ht="13.4" customHeight="1">
      <c r="A516" s="6"/>
      <c r="B516" s="6"/>
      <c r="C516" s="6"/>
      <c r="D516" s="6"/>
      <c r="E516" s="6"/>
      <c r="F516" s="6"/>
      <c r="G516" s="6"/>
      <c r="H516" s="4"/>
      <c r="I516" s="4"/>
      <c r="J516" s="4"/>
      <c r="K516" s="4"/>
      <c r="L516" s="4"/>
      <c r="M516" s="4"/>
      <c r="N516" s="4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9"/>
      <c r="BJ516" s="19">
        <f t="shared" si="151"/>
        <v>0</v>
      </c>
      <c r="BK516" s="6"/>
      <c r="BL516" s="6"/>
      <c r="BM516" s="6"/>
      <c r="BN516" s="6"/>
      <c r="BO516" s="6"/>
    </row>
    <row r="517" spans="1:67" ht="13.4" customHeight="1">
      <c r="A517" s="6"/>
      <c r="B517" s="6"/>
      <c r="C517" s="6"/>
      <c r="D517" s="6"/>
      <c r="E517" s="6"/>
      <c r="F517" s="6"/>
      <c r="G517" s="6"/>
      <c r="H517" s="4"/>
      <c r="I517" s="4"/>
      <c r="J517" s="4"/>
      <c r="K517" s="4"/>
      <c r="L517" s="4"/>
      <c r="M517" s="4"/>
      <c r="N517" s="4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9"/>
      <c r="BJ517" s="19">
        <f t="shared" si="151"/>
        <v>0</v>
      </c>
      <c r="BK517" s="6"/>
      <c r="BL517" s="6"/>
      <c r="BM517" s="6"/>
      <c r="BN517" s="6"/>
      <c r="BO517" s="6"/>
    </row>
    <row r="518" spans="1:67" ht="13.4" customHeight="1">
      <c r="A518" s="6"/>
      <c r="B518" s="6"/>
      <c r="C518" s="6"/>
      <c r="D518" s="6"/>
      <c r="E518" s="6"/>
      <c r="F518" s="6"/>
      <c r="G518" s="6"/>
      <c r="H518" s="4"/>
      <c r="I518" s="4"/>
      <c r="J518" s="4"/>
      <c r="K518" s="4"/>
      <c r="L518" s="4"/>
      <c r="M518" s="4"/>
      <c r="N518" s="4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9"/>
      <c r="BJ518" s="19">
        <f t="shared" si="151"/>
        <v>0</v>
      </c>
      <c r="BK518" s="6"/>
      <c r="BL518" s="6"/>
      <c r="BM518" s="6"/>
      <c r="BN518" s="6"/>
      <c r="BO518" s="6"/>
    </row>
    <row r="519" spans="1:67" ht="13.4" customHeight="1">
      <c r="A519" s="6"/>
      <c r="B519" s="6"/>
      <c r="C519" s="6"/>
      <c r="D519" s="6"/>
      <c r="E519" s="6"/>
      <c r="F519" s="6"/>
      <c r="G519" s="6"/>
      <c r="H519" s="4"/>
      <c r="I519" s="4"/>
      <c r="J519" s="4"/>
      <c r="K519" s="4"/>
      <c r="L519" s="4"/>
      <c r="M519" s="4"/>
      <c r="N519" s="4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9"/>
      <c r="BJ519" s="19">
        <f t="shared" si="151"/>
        <v>0</v>
      </c>
      <c r="BK519" s="6"/>
      <c r="BL519" s="6"/>
      <c r="BM519" s="6"/>
      <c r="BN519" s="6"/>
      <c r="BO519" s="6"/>
    </row>
    <row r="520" spans="1:67" ht="13.4" customHeight="1">
      <c r="A520" s="6"/>
      <c r="B520" s="6"/>
      <c r="C520" s="6"/>
      <c r="D520" s="6"/>
      <c r="E520" s="6"/>
      <c r="F520" s="6"/>
      <c r="G520" s="6"/>
      <c r="H520" s="4"/>
      <c r="I520" s="4"/>
      <c r="J520" s="4"/>
      <c r="K520" s="4"/>
      <c r="L520" s="4"/>
      <c r="M520" s="4"/>
      <c r="N520" s="4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9"/>
      <c r="BJ520" s="19">
        <f t="shared" si="151"/>
        <v>0</v>
      </c>
      <c r="BK520" s="6"/>
      <c r="BL520" s="6"/>
      <c r="BM520" s="6"/>
      <c r="BN520" s="6"/>
      <c r="BO520" s="6"/>
    </row>
    <row r="521" spans="1:67" ht="13.4" customHeight="1">
      <c r="A521" s="6"/>
      <c r="B521" s="6"/>
      <c r="C521" s="6"/>
      <c r="D521" s="6"/>
      <c r="E521" s="6"/>
      <c r="F521" s="6"/>
      <c r="G521" s="6"/>
      <c r="H521" s="4"/>
      <c r="I521" s="4"/>
      <c r="J521" s="4"/>
      <c r="K521" s="4"/>
      <c r="L521" s="4"/>
      <c r="M521" s="4"/>
      <c r="N521" s="4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9"/>
      <c r="BJ521" s="19">
        <f t="shared" si="151"/>
        <v>0</v>
      </c>
      <c r="BK521" s="6"/>
      <c r="BL521" s="6"/>
      <c r="BM521" s="6"/>
      <c r="BN521" s="6"/>
      <c r="BO521" s="6"/>
    </row>
    <row r="522" spans="1:67" ht="13.4" customHeight="1">
      <c r="A522" s="6"/>
      <c r="B522" s="6"/>
      <c r="C522" s="6"/>
      <c r="D522" s="6"/>
      <c r="E522" s="6"/>
      <c r="F522" s="6"/>
      <c r="G522" s="6"/>
      <c r="H522" s="4"/>
      <c r="I522" s="4"/>
      <c r="J522" s="4"/>
      <c r="K522" s="4"/>
      <c r="L522" s="4"/>
      <c r="M522" s="4"/>
      <c r="N522" s="4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9"/>
      <c r="BJ522" s="19">
        <f t="shared" si="151"/>
        <v>0</v>
      </c>
      <c r="BK522" s="6"/>
      <c r="BL522" s="6"/>
      <c r="BM522" s="6"/>
      <c r="BN522" s="6"/>
      <c r="BO522" s="6"/>
    </row>
    <row r="523" spans="1:67" ht="13.4" customHeight="1">
      <c r="A523" s="6"/>
      <c r="B523" s="6"/>
      <c r="C523" s="6"/>
      <c r="D523" s="6"/>
      <c r="E523" s="6"/>
      <c r="F523" s="6"/>
      <c r="G523" s="6"/>
      <c r="H523" s="4"/>
      <c r="I523" s="4"/>
      <c r="J523" s="4"/>
      <c r="K523" s="4"/>
      <c r="L523" s="4"/>
      <c r="M523" s="4"/>
      <c r="N523" s="4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9"/>
      <c r="BJ523" s="19">
        <f t="shared" si="151"/>
        <v>0</v>
      </c>
      <c r="BK523" s="6"/>
      <c r="BL523" s="6"/>
      <c r="BM523" s="6"/>
      <c r="BN523" s="6"/>
      <c r="BO523" s="6"/>
    </row>
    <row r="524" spans="1:67" ht="13.4" customHeight="1">
      <c r="A524" s="6"/>
      <c r="B524" s="6"/>
      <c r="C524" s="6"/>
      <c r="D524" s="6"/>
      <c r="E524" s="6"/>
      <c r="F524" s="6"/>
      <c r="G524" s="6"/>
      <c r="H524" s="4"/>
      <c r="I524" s="4"/>
      <c r="J524" s="4"/>
      <c r="K524" s="4"/>
      <c r="L524" s="4"/>
      <c r="M524" s="4"/>
      <c r="N524" s="4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9"/>
      <c r="BJ524" s="19">
        <f t="shared" si="151"/>
        <v>0</v>
      </c>
      <c r="BK524" s="6"/>
      <c r="BL524" s="6"/>
      <c r="BM524" s="6"/>
      <c r="BN524" s="6"/>
      <c r="BO524" s="6"/>
    </row>
    <row r="525" spans="1:67" ht="13.4" customHeight="1">
      <c r="A525" s="6"/>
      <c r="B525" s="6"/>
      <c r="C525" s="6"/>
      <c r="D525" s="6"/>
      <c r="E525" s="6"/>
      <c r="F525" s="6"/>
      <c r="G525" s="6"/>
      <c r="H525" s="4"/>
      <c r="I525" s="4"/>
      <c r="J525" s="4"/>
      <c r="K525" s="4"/>
      <c r="L525" s="4"/>
      <c r="M525" s="4"/>
      <c r="N525" s="4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9"/>
      <c r="BJ525" s="19">
        <f t="shared" si="151"/>
        <v>0</v>
      </c>
      <c r="BK525" s="6"/>
      <c r="BL525" s="6"/>
      <c r="BM525" s="6"/>
      <c r="BN525" s="6"/>
      <c r="BO525" s="6"/>
    </row>
    <row r="526" spans="1:67" ht="13.4" customHeight="1">
      <c r="A526" s="6"/>
      <c r="B526" s="6"/>
      <c r="C526" s="6"/>
      <c r="D526" s="6"/>
      <c r="E526" s="6"/>
      <c r="F526" s="6"/>
      <c r="G526" s="6"/>
      <c r="H526" s="4"/>
      <c r="I526" s="4"/>
      <c r="J526" s="4"/>
      <c r="K526" s="4"/>
      <c r="L526" s="4"/>
      <c r="M526" s="4"/>
      <c r="N526" s="4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9"/>
      <c r="BJ526" s="19">
        <f t="shared" si="151"/>
        <v>0</v>
      </c>
      <c r="BK526" s="6"/>
      <c r="BL526" s="6"/>
      <c r="BM526" s="6"/>
      <c r="BN526" s="6"/>
      <c r="BO526" s="6"/>
    </row>
    <row r="527" spans="1:67" ht="13.4" customHeight="1">
      <c r="A527" s="6"/>
      <c r="B527" s="6"/>
      <c r="C527" s="6"/>
      <c r="D527" s="6"/>
      <c r="E527" s="6"/>
      <c r="F527" s="6"/>
      <c r="G527" s="6"/>
      <c r="H527" s="4"/>
      <c r="I527" s="4"/>
      <c r="J527" s="4"/>
      <c r="K527" s="4"/>
      <c r="L527" s="4"/>
      <c r="M527" s="4"/>
      <c r="N527" s="4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9"/>
      <c r="BJ527" s="19">
        <f t="shared" si="151"/>
        <v>0</v>
      </c>
      <c r="BK527" s="6"/>
      <c r="BL527" s="6"/>
      <c r="BM527" s="6"/>
      <c r="BN527" s="6"/>
      <c r="BO527" s="6"/>
    </row>
    <row r="528" spans="1:67" ht="13.4" customHeight="1">
      <c r="A528" s="6"/>
      <c r="B528" s="6"/>
      <c r="C528" s="6"/>
      <c r="D528" s="6"/>
      <c r="E528" s="6"/>
      <c r="F528" s="6"/>
      <c r="G528" s="6"/>
      <c r="H528" s="4"/>
      <c r="I528" s="4"/>
      <c r="J528" s="4"/>
      <c r="K528" s="4"/>
      <c r="L528" s="4"/>
      <c r="M528" s="4"/>
      <c r="N528" s="4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9"/>
      <c r="BJ528" s="19">
        <f t="shared" si="151"/>
        <v>0</v>
      </c>
      <c r="BK528" s="6"/>
      <c r="BL528" s="6"/>
      <c r="BM528" s="6"/>
      <c r="BN528" s="6"/>
      <c r="BO528" s="6"/>
    </row>
    <row r="529" spans="1:67" ht="13.4" customHeight="1">
      <c r="A529" s="6"/>
      <c r="B529" s="6"/>
      <c r="C529" s="6"/>
      <c r="D529" s="6"/>
      <c r="E529" s="6"/>
      <c r="F529" s="6"/>
      <c r="G529" s="6"/>
      <c r="H529" s="4"/>
      <c r="I529" s="4"/>
      <c r="J529" s="4"/>
      <c r="K529" s="4"/>
      <c r="L529" s="4"/>
      <c r="M529" s="4"/>
      <c r="N529" s="4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9"/>
      <c r="BJ529" s="19">
        <f t="shared" si="151"/>
        <v>0</v>
      </c>
      <c r="BK529" s="6"/>
      <c r="BL529" s="6"/>
      <c r="BM529" s="6"/>
      <c r="BN529" s="6"/>
      <c r="BO529" s="6"/>
    </row>
    <row r="530" spans="1:67" ht="13.4" customHeight="1">
      <c r="A530" s="6"/>
      <c r="B530" s="6"/>
      <c r="C530" s="6"/>
      <c r="D530" s="6"/>
      <c r="E530" s="6"/>
      <c r="F530" s="6"/>
      <c r="G530" s="6"/>
      <c r="H530" s="4"/>
      <c r="I530" s="4"/>
      <c r="J530" s="4"/>
      <c r="K530" s="4"/>
      <c r="L530" s="4"/>
      <c r="M530" s="4"/>
      <c r="N530" s="4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9"/>
      <c r="BJ530" s="19">
        <f t="shared" si="151"/>
        <v>0</v>
      </c>
      <c r="BK530" s="6"/>
      <c r="BL530" s="6"/>
      <c r="BM530" s="6"/>
      <c r="BN530" s="6"/>
      <c r="BO530" s="6"/>
    </row>
    <row r="531" spans="1:67" ht="13.4" customHeight="1">
      <c r="A531" s="6"/>
      <c r="B531" s="6"/>
      <c r="C531" s="6"/>
      <c r="D531" s="6"/>
      <c r="E531" s="6"/>
      <c r="F531" s="6"/>
      <c r="G531" s="6"/>
      <c r="H531" s="4"/>
      <c r="I531" s="4"/>
      <c r="J531" s="4"/>
      <c r="K531" s="4"/>
      <c r="L531" s="4"/>
      <c r="M531" s="4"/>
      <c r="N531" s="4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9"/>
      <c r="BJ531" s="19">
        <f t="shared" si="151"/>
        <v>0</v>
      </c>
      <c r="BK531" s="6"/>
      <c r="BL531" s="6"/>
      <c r="BM531" s="6"/>
      <c r="BN531" s="6"/>
      <c r="BO531" s="6"/>
    </row>
    <row r="532" spans="1:67" ht="13.4" customHeight="1">
      <c r="A532" s="6"/>
      <c r="B532" s="6"/>
      <c r="C532" s="6"/>
      <c r="D532" s="6"/>
      <c r="E532" s="6"/>
      <c r="F532" s="6"/>
      <c r="G532" s="6"/>
      <c r="H532" s="4"/>
      <c r="I532" s="4"/>
      <c r="J532" s="4"/>
      <c r="K532" s="4"/>
      <c r="L532" s="4"/>
      <c r="M532" s="4"/>
      <c r="N532" s="4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9"/>
      <c r="BJ532" s="19">
        <f t="shared" si="151"/>
        <v>0</v>
      </c>
      <c r="BK532" s="6"/>
      <c r="BL532" s="6"/>
      <c r="BM532" s="6"/>
      <c r="BN532" s="6"/>
      <c r="BO532" s="6"/>
    </row>
    <row r="533" spans="1:67" ht="13.4" customHeight="1">
      <c r="A533" s="6"/>
      <c r="B533" s="6"/>
      <c r="C533" s="6"/>
      <c r="D533" s="6"/>
      <c r="E533" s="6"/>
      <c r="F533" s="6"/>
      <c r="G533" s="6"/>
      <c r="H533" s="4"/>
      <c r="I533" s="4"/>
      <c r="J533" s="4"/>
      <c r="K533" s="4"/>
      <c r="L533" s="4"/>
      <c r="M533" s="4"/>
      <c r="N533" s="4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9"/>
      <c r="BJ533" s="19">
        <f t="shared" si="151"/>
        <v>0</v>
      </c>
      <c r="BK533" s="6"/>
      <c r="BL533" s="6"/>
      <c r="BM533" s="6"/>
      <c r="BN533" s="6"/>
      <c r="BO533" s="6"/>
    </row>
    <row r="534" spans="1:67" ht="13.4" customHeight="1">
      <c r="A534" s="6"/>
      <c r="B534" s="6"/>
      <c r="C534" s="6"/>
      <c r="D534" s="6"/>
      <c r="E534" s="6"/>
      <c r="F534" s="6"/>
      <c r="G534" s="6"/>
      <c r="H534" s="4"/>
      <c r="I534" s="4"/>
      <c r="J534" s="4"/>
      <c r="K534" s="4"/>
      <c r="L534" s="4"/>
      <c r="M534" s="4"/>
      <c r="N534" s="4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9"/>
      <c r="BJ534" s="19">
        <f t="shared" si="151"/>
        <v>0</v>
      </c>
      <c r="BK534" s="6"/>
      <c r="BL534" s="6"/>
      <c r="BM534" s="6"/>
      <c r="BN534" s="6"/>
      <c r="BO534" s="6"/>
    </row>
    <row r="535" spans="1:67" ht="13.4" customHeight="1">
      <c r="A535" s="6"/>
      <c r="B535" s="6"/>
      <c r="C535" s="6"/>
      <c r="D535" s="6"/>
      <c r="E535" s="6"/>
      <c r="F535" s="6"/>
      <c r="G535" s="6"/>
      <c r="H535" s="4"/>
      <c r="I535" s="4"/>
      <c r="J535" s="4"/>
      <c r="K535" s="4"/>
      <c r="L535" s="4"/>
      <c r="M535" s="4"/>
      <c r="N535" s="4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9"/>
      <c r="BJ535" s="19">
        <f t="shared" si="151"/>
        <v>0</v>
      </c>
      <c r="BK535" s="6"/>
      <c r="BL535" s="6"/>
      <c r="BM535" s="6"/>
      <c r="BN535" s="6"/>
      <c r="BO535" s="6"/>
    </row>
    <row r="536" spans="1:67" ht="13.4" customHeight="1">
      <c r="A536" s="6"/>
      <c r="B536" s="6"/>
      <c r="C536" s="6"/>
      <c r="D536" s="6"/>
      <c r="E536" s="6"/>
      <c r="F536" s="6"/>
      <c r="G536" s="6"/>
      <c r="H536" s="4"/>
      <c r="I536" s="4"/>
      <c r="J536" s="4"/>
      <c r="K536" s="4"/>
      <c r="L536" s="4"/>
      <c r="M536" s="4"/>
      <c r="N536" s="4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9"/>
      <c r="BJ536" s="19">
        <f t="shared" si="151"/>
        <v>0</v>
      </c>
      <c r="BK536" s="6"/>
      <c r="BL536" s="6"/>
      <c r="BM536" s="6"/>
      <c r="BN536" s="6"/>
      <c r="BO536" s="6"/>
    </row>
    <row r="537" spans="1:67" ht="13.4" customHeight="1">
      <c r="A537" s="6"/>
      <c r="B537" s="6"/>
      <c r="C537" s="6"/>
      <c r="D537" s="6"/>
      <c r="E537" s="6"/>
      <c r="F537" s="6"/>
      <c r="G537" s="6"/>
      <c r="H537" s="4"/>
      <c r="I537" s="4"/>
      <c r="J537" s="4"/>
      <c r="K537" s="4"/>
      <c r="L537" s="4"/>
      <c r="M537" s="4"/>
      <c r="N537" s="4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9"/>
      <c r="BJ537" s="19">
        <f t="shared" si="151"/>
        <v>0</v>
      </c>
      <c r="BK537" s="6"/>
      <c r="BL537" s="6"/>
      <c r="BM537" s="6"/>
      <c r="BN537" s="6"/>
      <c r="BO537" s="6"/>
    </row>
    <row r="538" spans="1:67" ht="13.4" customHeight="1">
      <c r="A538" s="6"/>
      <c r="B538" s="6"/>
      <c r="C538" s="6"/>
      <c r="D538" s="6"/>
      <c r="E538" s="6"/>
      <c r="F538" s="6"/>
      <c r="G538" s="6"/>
      <c r="H538" s="4"/>
      <c r="I538" s="4"/>
      <c r="J538" s="4"/>
      <c r="K538" s="4"/>
      <c r="L538" s="4"/>
      <c r="M538" s="4"/>
      <c r="N538" s="4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9"/>
      <c r="BJ538" s="19">
        <f t="shared" si="151"/>
        <v>0</v>
      </c>
      <c r="BK538" s="6"/>
      <c r="BL538" s="6"/>
      <c r="BM538" s="6"/>
      <c r="BN538" s="6"/>
      <c r="BO538" s="6"/>
    </row>
    <row r="539" spans="1:67" ht="13.4" customHeight="1">
      <c r="A539" s="6"/>
      <c r="B539" s="6"/>
      <c r="C539" s="6"/>
      <c r="D539" s="6"/>
      <c r="E539" s="6"/>
      <c r="F539" s="6"/>
      <c r="G539" s="6"/>
      <c r="H539" s="4"/>
      <c r="I539" s="4"/>
      <c r="J539" s="4"/>
      <c r="K539" s="4"/>
      <c r="L539" s="4"/>
      <c r="M539" s="4"/>
      <c r="N539" s="4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9"/>
      <c r="BJ539" s="19">
        <f t="shared" si="151"/>
        <v>0</v>
      </c>
      <c r="BK539" s="6"/>
      <c r="BL539" s="6"/>
      <c r="BM539" s="6"/>
      <c r="BN539" s="6"/>
      <c r="BO539" s="6"/>
    </row>
    <row r="540" spans="1:67" ht="13.4" customHeight="1">
      <c r="A540" s="6"/>
      <c r="B540" s="6"/>
      <c r="C540" s="6"/>
      <c r="D540" s="6"/>
      <c r="E540" s="6"/>
      <c r="F540" s="6"/>
      <c r="G540" s="6"/>
      <c r="H540" s="4"/>
      <c r="I540" s="4"/>
      <c r="J540" s="4"/>
      <c r="K540" s="4"/>
      <c r="L540" s="4"/>
      <c r="M540" s="4"/>
      <c r="N540" s="4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9"/>
      <c r="BJ540" s="19">
        <f t="shared" si="151"/>
        <v>0</v>
      </c>
      <c r="BK540" s="6"/>
      <c r="BL540" s="6"/>
      <c r="BM540" s="6"/>
      <c r="BN540" s="6"/>
      <c r="BO540" s="6"/>
    </row>
    <row r="541" spans="1:67" ht="13.4" customHeight="1">
      <c r="A541" s="6"/>
      <c r="B541" s="6"/>
      <c r="C541" s="6"/>
      <c r="D541" s="6"/>
      <c r="E541" s="6"/>
      <c r="F541" s="6"/>
      <c r="G541" s="6"/>
      <c r="H541" s="4"/>
      <c r="I541" s="4"/>
      <c r="J541" s="4"/>
      <c r="K541" s="4"/>
      <c r="L541" s="4"/>
      <c r="M541" s="4"/>
      <c r="N541" s="4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9"/>
      <c r="BJ541" s="19">
        <f t="shared" si="151"/>
        <v>0</v>
      </c>
      <c r="BK541" s="6"/>
      <c r="BL541" s="6"/>
      <c r="BM541" s="6"/>
      <c r="BN541" s="6"/>
      <c r="BO541" s="6"/>
    </row>
    <row r="542" spans="1:67" ht="13.4" customHeight="1">
      <c r="A542" s="6"/>
      <c r="B542" s="6"/>
      <c r="C542" s="6"/>
      <c r="D542" s="6"/>
      <c r="E542" s="6"/>
      <c r="F542" s="6"/>
      <c r="G542" s="6"/>
      <c r="H542" s="4"/>
      <c r="I542" s="4"/>
      <c r="J542" s="4"/>
      <c r="K542" s="4"/>
      <c r="L542" s="4"/>
      <c r="M542" s="4"/>
      <c r="N542" s="4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9"/>
      <c r="BJ542" s="19">
        <f t="shared" si="151"/>
        <v>0</v>
      </c>
      <c r="BK542" s="6"/>
      <c r="BL542" s="6"/>
      <c r="BM542" s="6"/>
      <c r="BN542" s="6"/>
      <c r="BO542" s="6"/>
    </row>
    <row r="543" spans="1:67" ht="13.4" customHeight="1">
      <c r="A543" s="6"/>
      <c r="B543" s="6"/>
      <c r="C543" s="6"/>
      <c r="D543" s="6"/>
      <c r="E543" s="6"/>
      <c r="F543" s="6"/>
      <c r="G543" s="6"/>
      <c r="H543" s="4"/>
      <c r="I543" s="4"/>
      <c r="J543" s="4"/>
      <c r="K543" s="4"/>
      <c r="L543" s="4"/>
      <c r="M543" s="4"/>
      <c r="N543" s="4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9"/>
      <c r="BJ543" s="19">
        <f t="shared" si="151"/>
        <v>0</v>
      </c>
      <c r="BK543" s="6"/>
      <c r="BL543" s="6"/>
      <c r="BM543" s="6"/>
      <c r="BN543" s="6"/>
      <c r="BO543" s="6"/>
    </row>
    <row r="544" spans="1:67" ht="13.4" customHeight="1">
      <c r="A544" s="6"/>
      <c r="B544" s="6"/>
      <c r="C544" s="6"/>
      <c r="D544" s="6"/>
      <c r="E544" s="6"/>
      <c r="F544" s="6"/>
      <c r="G544" s="6"/>
      <c r="H544" s="4"/>
      <c r="I544" s="4"/>
      <c r="J544" s="4"/>
      <c r="K544" s="4"/>
      <c r="L544" s="4"/>
      <c r="M544" s="4"/>
      <c r="N544" s="4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9"/>
      <c r="BJ544" s="19">
        <f t="shared" si="151"/>
        <v>0</v>
      </c>
      <c r="BK544" s="6"/>
      <c r="BL544" s="6"/>
      <c r="BM544" s="6"/>
      <c r="BN544" s="6"/>
      <c r="BO544" s="6"/>
    </row>
    <row r="545" spans="1:67" ht="13.4" customHeight="1">
      <c r="A545" s="6"/>
      <c r="B545" s="6"/>
      <c r="C545" s="6"/>
      <c r="D545" s="6"/>
      <c r="E545" s="6"/>
      <c r="F545" s="6"/>
      <c r="G545" s="6"/>
      <c r="H545" s="4"/>
      <c r="I545" s="4"/>
      <c r="J545" s="4"/>
      <c r="K545" s="4"/>
      <c r="L545" s="4"/>
      <c r="M545" s="4"/>
      <c r="N545" s="4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9"/>
      <c r="BJ545" s="19">
        <f t="shared" si="151"/>
        <v>0</v>
      </c>
      <c r="BK545" s="6"/>
      <c r="BL545" s="6"/>
      <c r="BM545" s="6"/>
      <c r="BN545" s="6"/>
      <c r="BO545" s="6"/>
    </row>
    <row r="546" spans="1:67" ht="13.4" customHeight="1">
      <c r="A546" s="6"/>
      <c r="B546" s="6"/>
      <c r="C546" s="6"/>
      <c r="D546" s="6"/>
      <c r="E546" s="6"/>
      <c r="F546" s="6"/>
      <c r="G546" s="6"/>
      <c r="H546" s="4"/>
      <c r="I546" s="4"/>
      <c r="J546" s="4"/>
      <c r="K546" s="4"/>
      <c r="L546" s="4"/>
      <c r="M546" s="4"/>
      <c r="N546" s="4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9"/>
      <c r="BJ546" s="19">
        <f t="shared" si="151"/>
        <v>0</v>
      </c>
      <c r="BK546" s="6"/>
      <c r="BL546" s="6"/>
      <c r="BM546" s="6"/>
      <c r="BN546" s="6"/>
      <c r="BO546" s="6"/>
    </row>
    <row r="547" spans="1:67" ht="13.4" customHeight="1">
      <c r="A547" s="6"/>
      <c r="B547" s="6"/>
      <c r="C547" s="6"/>
      <c r="D547" s="6"/>
      <c r="E547" s="6"/>
      <c r="F547" s="6"/>
      <c r="G547" s="6"/>
      <c r="H547" s="4"/>
      <c r="I547" s="4"/>
      <c r="J547" s="4"/>
      <c r="K547" s="4"/>
      <c r="L547" s="4"/>
      <c r="M547" s="4"/>
      <c r="N547" s="4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9"/>
      <c r="BJ547" s="19">
        <f t="shared" si="151"/>
        <v>0</v>
      </c>
      <c r="BK547" s="6"/>
      <c r="BL547" s="6"/>
      <c r="BM547" s="6"/>
      <c r="BN547" s="6"/>
      <c r="BO547" s="6"/>
    </row>
    <row r="548" spans="1:67" ht="13.4" customHeight="1">
      <c r="A548" s="6"/>
      <c r="B548" s="6"/>
      <c r="C548" s="6"/>
      <c r="D548" s="6"/>
      <c r="E548" s="6"/>
      <c r="F548" s="6"/>
      <c r="G548" s="6"/>
      <c r="H548" s="4"/>
      <c r="I548" s="4"/>
      <c r="J548" s="4"/>
      <c r="K548" s="4"/>
      <c r="L548" s="4"/>
      <c r="M548" s="4"/>
      <c r="N548" s="4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9"/>
      <c r="BJ548" s="19">
        <f t="shared" si="151"/>
        <v>0</v>
      </c>
      <c r="BK548" s="6"/>
      <c r="BL548" s="6"/>
      <c r="BM548" s="6"/>
      <c r="BN548" s="6"/>
      <c r="BO548" s="6"/>
    </row>
    <row r="549" spans="1:67" ht="13.4" customHeight="1">
      <c r="A549" s="6"/>
      <c r="B549" s="6"/>
      <c r="C549" s="6"/>
      <c r="D549" s="6"/>
      <c r="E549" s="6"/>
      <c r="F549" s="6"/>
      <c r="G549" s="6"/>
      <c r="H549" s="4"/>
      <c r="I549" s="4"/>
      <c r="J549" s="4"/>
      <c r="K549" s="4"/>
      <c r="L549" s="4"/>
      <c r="M549" s="4"/>
      <c r="N549" s="4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9"/>
      <c r="BJ549" s="19">
        <f t="shared" si="151"/>
        <v>0</v>
      </c>
      <c r="BK549" s="6"/>
      <c r="BL549" s="6"/>
      <c r="BM549" s="6"/>
      <c r="BN549" s="6"/>
      <c r="BO549" s="6"/>
    </row>
    <row r="550" spans="1:67" ht="13.4" customHeight="1">
      <c r="A550" s="6"/>
      <c r="B550" s="6"/>
      <c r="C550" s="6"/>
      <c r="D550" s="6"/>
      <c r="E550" s="6"/>
      <c r="F550" s="6"/>
      <c r="G550" s="6"/>
      <c r="H550" s="4"/>
      <c r="I550" s="4"/>
      <c r="J550" s="4"/>
      <c r="K550" s="4"/>
      <c r="L550" s="4"/>
      <c r="M550" s="4"/>
      <c r="N550" s="4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9"/>
      <c r="BJ550" s="19">
        <f t="shared" si="151"/>
        <v>0</v>
      </c>
      <c r="BK550" s="6"/>
      <c r="BL550" s="6"/>
      <c r="BM550" s="6"/>
      <c r="BN550" s="6"/>
      <c r="BO550" s="6"/>
    </row>
    <row r="551" spans="1:67" ht="13.4" customHeight="1">
      <c r="A551" s="6"/>
      <c r="B551" s="6"/>
      <c r="C551" s="6"/>
      <c r="D551" s="6"/>
      <c r="E551" s="6"/>
      <c r="F551" s="6"/>
      <c r="G551" s="6"/>
      <c r="H551" s="4"/>
      <c r="I551" s="4"/>
      <c r="J551" s="4"/>
      <c r="K551" s="4"/>
      <c r="L551" s="4"/>
      <c r="M551" s="4"/>
      <c r="N551" s="4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9"/>
      <c r="BJ551" s="19">
        <f t="shared" si="151"/>
        <v>0</v>
      </c>
      <c r="BK551" s="6"/>
      <c r="BL551" s="6"/>
      <c r="BM551" s="6"/>
      <c r="BN551" s="6"/>
      <c r="BO551" s="6"/>
    </row>
    <row r="552" spans="1:67" ht="13.4" customHeight="1">
      <c r="A552" s="6"/>
      <c r="B552" s="6"/>
      <c r="C552" s="6"/>
      <c r="D552" s="6"/>
      <c r="E552" s="6"/>
      <c r="F552" s="6"/>
      <c r="G552" s="6"/>
      <c r="H552" s="4"/>
      <c r="I552" s="4"/>
      <c r="J552" s="4"/>
      <c r="K552" s="4"/>
      <c r="L552" s="4"/>
      <c r="M552" s="4"/>
      <c r="N552" s="4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9"/>
      <c r="BJ552" s="19">
        <f t="shared" si="151"/>
        <v>0</v>
      </c>
      <c r="BK552" s="6"/>
      <c r="BL552" s="6"/>
      <c r="BM552" s="6"/>
      <c r="BN552" s="6"/>
      <c r="BO552" s="6"/>
    </row>
    <row r="553" spans="1:67" ht="13.4" customHeight="1">
      <c r="A553" s="6"/>
      <c r="B553" s="6"/>
      <c r="C553" s="6"/>
      <c r="D553" s="6"/>
      <c r="E553" s="6"/>
      <c r="F553" s="6"/>
      <c r="G553" s="6"/>
      <c r="H553" s="4"/>
      <c r="I553" s="4"/>
      <c r="J553" s="4"/>
      <c r="K553" s="4"/>
      <c r="L553" s="4"/>
      <c r="M553" s="4"/>
      <c r="N553" s="4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9"/>
      <c r="BJ553" s="19">
        <f t="shared" si="151"/>
        <v>0</v>
      </c>
      <c r="BK553" s="6"/>
      <c r="BL553" s="6"/>
      <c r="BM553" s="6"/>
      <c r="BN553" s="6"/>
      <c r="BO553" s="6"/>
    </row>
    <row r="554" spans="1:67" ht="13.4" customHeight="1">
      <c r="A554" s="6"/>
      <c r="B554" s="6"/>
      <c r="C554" s="6"/>
      <c r="D554" s="6"/>
      <c r="E554" s="6"/>
      <c r="F554" s="6"/>
      <c r="G554" s="6"/>
      <c r="H554" s="4"/>
      <c r="I554" s="4"/>
      <c r="J554" s="4"/>
      <c r="K554" s="4"/>
      <c r="L554" s="4"/>
      <c r="M554" s="4"/>
      <c r="N554" s="4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9"/>
      <c r="BJ554" s="19">
        <f t="shared" si="151"/>
        <v>0</v>
      </c>
      <c r="BK554" s="6"/>
      <c r="BL554" s="6"/>
      <c r="BM554" s="6"/>
      <c r="BN554" s="6"/>
      <c r="BO554" s="6"/>
    </row>
    <row r="555" spans="1:67" ht="13.4" customHeight="1">
      <c r="A555" s="6"/>
      <c r="B555" s="6"/>
      <c r="C555" s="6"/>
      <c r="D555" s="6"/>
      <c r="E555" s="6"/>
      <c r="F555" s="6"/>
      <c r="G555" s="6"/>
      <c r="H555" s="4"/>
      <c r="I555" s="4"/>
      <c r="J555" s="4"/>
      <c r="K555" s="4"/>
      <c r="L555" s="4"/>
      <c r="M555" s="4"/>
      <c r="N555" s="4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9"/>
      <c r="BJ555" s="19">
        <f t="shared" si="151"/>
        <v>0</v>
      </c>
      <c r="BK555" s="6"/>
      <c r="BL555" s="6"/>
      <c r="BM555" s="6"/>
      <c r="BN555" s="6"/>
      <c r="BO555" s="6"/>
    </row>
    <row r="556" spans="1:67" ht="13.4" customHeight="1">
      <c r="A556" s="6"/>
      <c r="B556" s="6"/>
      <c r="C556" s="6"/>
      <c r="D556" s="6"/>
      <c r="E556" s="6"/>
      <c r="F556" s="6"/>
      <c r="G556" s="6"/>
      <c r="H556" s="4"/>
      <c r="I556" s="4"/>
      <c r="J556" s="4"/>
      <c r="K556" s="4"/>
      <c r="L556" s="4"/>
      <c r="M556" s="4"/>
      <c r="N556" s="4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9"/>
      <c r="BJ556" s="19">
        <f t="shared" si="151"/>
        <v>0</v>
      </c>
      <c r="BK556" s="6"/>
      <c r="BL556" s="6"/>
      <c r="BM556" s="6"/>
      <c r="BN556" s="6"/>
      <c r="BO556" s="6"/>
    </row>
    <row r="557" spans="1:67" ht="13.4" customHeight="1">
      <c r="A557" s="6"/>
      <c r="B557" s="6"/>
      <c r="C557" s="6"/>
      <c r="D557" s="6"/>
      <c r="E557" s="6"/>
      <c r="F557" s="6"/>
      <c r="G557" s="6"/>
      <c r="H557" s="4"/>
      <c r="I557" s="4"/>
      <c r="J557" s="4"/>
      <c r="K557" s="4"/>
      <c r="L557" s="4"/>
      <c r="M557" s="4"/>
      <c r="N557" s="4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9"/>
      <c r="BJ557" s="19">
        <f t="shared" si="151"/>
        <v>0</v>
      </c>
      <c r="BK557" s="6"/>
      <c r="BL557" s="6"/>
      <c r="BM557" s="6"/>
      <c r="BN557" s="6"/>
      <c r="BO557" s="6"/>
    </row>
    <row r="558" spans="1:67" ht="13.4" customHeight="1">
      <c r="A558" s="6"/>
      <c r="B558" s="6"/>
      <c r="C558" s="6"/>
      <c r="D558" s="6"/>
      <c r="E558" s="6"/>
      <c r="F558" s="6"/>
      <c r="G558" s="6"/>
      <c r="H558" s="4"/>
      <c r="I558" s="4"/>
      <c r="J558" s="4"/>
      <c r="K558" s="4"/>
      <c r="L558" s="4"/>
      <c r="M558" s="4"/>
      <c r="N558" s="4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9"/>
      <c r="BJ558" s="19">
        <f t="shared" si="151"/>
        <v>0</v>
      </c>
      <c r="BK558" s="6"/>
      <c r="BL558" s="6"/>
      <c r="BM558" s="6"/>
      <c r="BN558" s="6"/>
      <c r="BO558" s="6"/>
    </row>
    <row r="559" spans="1:67" ht="13.4" customHeight="1">
      <c r="A559" s="6"/>
      <c r="B559" s="6"/>
      <c r="C559" s="6"/>
      <c r="D559" s="6"/>
      <c r="E559" s="6"/>
      <c r="F559" s="6"/>
      <c r="G559" s="6"/>
      <c r="H559" s="4"/>
      <c r="I559" s="4"/>
      <c r="J559" s="4"/>
      <c r="K559" s="4"/>
      <c r="L559" s="4"/>
      <c r="M559" s="4"/>
      <c r="N559" s="4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9"/>
      <c r="BJ559" s="19">
        <f t="shared" si="151"/>
        <v>0</v>
      </c>
      <c r="BK559" s="6"/>
      <c r="BL559" s="6"/>
      <c r="BM559" s="6"/>
      <c r="BN559" s="6"/>
      <c r="BO559" s="6"/>
    </row>
    <row r="560" spans="1:67" ht="13.4" customHeight="1">
      <c r="A560" s="6"/>
      <c r="B560" s="6"/>
      <c r="C560" s="6"/>
      <c r="D560" s="6"/>
      <c r="E560" s="6"/>
      <c r="F560" s="6"/>
      <c r="G560" s="6"/>
      <c r="H560" s="4"/>
      <c r="I560" s="4"/>
      <c r="J560" s="4"/>
      <c r="K560" s="4"/>
      <c r="L560" s="4"/>
      <c r="M560" s="4"/>
      <c r="N560" s="4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9"/>
      <c r="BJ560" s="19">
        <f t="shared" si="151"/>
        <v>0</v>
      </c>
      <c r="BK560" s="6"/>
      <c r="BL560" s="6"/>
      <c r="BM560" s="6"/>
      <c r="BN560" s="6"/>
      <c r="BO560" s="6"/>
    </row>
    <row r="561" spans="1:67" ht="13.4" customHeight="1">
      <c r="A561" s="6"/>
      <c r="B561" s="6"/>
      <c r="C561" s="6"/>
      <c r="D561" s="6"/>
      <c r="E561" s="6"/>
      <c r="F561" s="6"/>
      <c r="G561" s="6"/>
      <c r="H561" s="4"/>
      <c r="I561" s="4"/>
      <c r="J561" s="4"/>
      <c r="K561" s="4"/>
      <c r="L561" s="4"/>
      <c r="M561" s="4"/>
      <c r="N561" s="4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9"/>
      <c r="BJ561" s="19">
        <f t="shared" si="151"/>
        <v>0</v>
      </c>
      <c r="BK561" s="6"/>
      <c r="BL561" s="6"/>
      <c r="BM561" s="6"/>
      <c r="BN561" s="6"/>
      <c r="BO561" s="6"/>
    </row>
    <row r="562" spans="1:67" ht="13.4" customHeight="1">
      <c r="A562" s="6"/>
      <c r="B562" s="6"/>
      <c r="C562" s="6"/>
      <c r="D562" s="6"/>
      <c r="E562" s="6"/>
      <c r="F562" s="6"/>
      <c r="G562" s="6"/>
      <c r="H562" s="4"/>
      <c r="I562" s="4"/>
      <c r="J562" s="4"/>
      <c r="K562" s="4"/>
      <c r="L562" s="4"/>
      <c r="M562" s="4"/>
      <c r="N562" s="4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9"/>
      <c r="BJ562" s="19">
        <f t="shared" si="151"/>
        <v>0</v>
      </c>
      <c r="BK562" s="6"/>
      <c r="BL562" s="6"/>
      <c r="BM562" s="6"/>
      <c r="BN562" s="6"/>
      <c r="BO562" s="6"/>
    </row>
    <row r="563" spans="1:67" ht="13.4" customHeight="1">
      <c r="A563" s="6"/>
      <c r="B563" s="6"/>
      <c r="C563" s="6"/>
      <c r="D563" s="6"/>
      <c r="E563" s="6"/>
      <c r="F563" s="6"/>
      <c r="G563" s="6"/>
      <c r="H563" s="4"/>
      <c r="I563" s="4"/>
      <c r="J563" s="4"/>
      <c r="K563" s="4"/>
      <c r="L563" s="4"/>
      <c r="M563" s="4"/>
      <c r="N563" s="4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9"/>
      <c r="BJ563" s="19">
        <f t="shared" si="151"/>
        <v>0</v>
      </c>
      <c r="BK563" s="6"/>
      <c r="BL563" s="6"/>
      <c r="BM563" s="6"/>
      <c r="BN563" s="6"/>
      <c r="BO563" s="6"/>
    </row>
    <row r="564" spans="1:67" ht="13.4" customHeight="1">
      <c r="A564" s="6"/>
      <c r="B564" s="6"/>
      <c r="C564" s="6"/>
      <c r="D564" s="6"/>
      <c r="E564" s="6"/>
      <c r="F564" s="6"/>
      <c r="G564" s="6"/>
      <c r="H564" s="4"/>
      <c r="I564" s="4"/>
      <c r="J564" s="4"/>
      <c r="K564" s="4"/>
      <c r="L564" s="4"/>
      <c r="M564" s="4"/>
      <c r="N564" s="4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9"/>
      <c r="BJ564" s="19">
        <f t="shared" si="151"/>
        <v>0</v>
      </c>
      <c r="BK564" s="6"/>
      <c r="BL564" s="6"/>
      <c r="BM564" s="6"/>
      <c r="BN564" s="6"/>
      <c r="BO564" s="6"/>
    </row>
    <row r="565" spans="1:67" ht="13.4" customHeight="1">
      <c r="A565" s="6"/>
      <c r="B565" s="6"/>
      <c r="C565" s="6"/>
      <c r="D565" s="6"/>
      <c r="E565" s="6"/>
      <c r="F565" s="6"/>
      <c r="G565" s="6"/>
      <c r="H565" s="4"/>
      <c r="I565" s="4"/>
      <c r="J565" s="4"/>
      <c r="K565" s="4"/>
      <c r="L565" s="4"/>
      <c r="M565" s="4"/>
      <c r="N565" s="4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9"/>
      <c r="BJ565" s="19">
        <f t="shared" si="151"/>
        <v>0</v>
      </c>
      <c r="BK565" s="6"/>
      <c r="BL565" s="6"/>
      <c r="BM565" s="6"/>
      <c r="BN565" s="6"/>
      <c r="BO565" s="6"/>
    </row>
    <row r="566" spans="1:67" ht="13.4" customHeight="1">
      <c r="A566" s="6"/>
      <c r="B566" s="6"/>
      <c r="C566" s="6"/>
      <c r="D566" s="6"/>
      <c r="E566" s="6"/>
      <c r="F566" s="6"/>
      <c r="G566" s="6"/>
      <c r="H566" s="4"/>
      <c r="I566" s="4"/>
      <c r="J566" s="4"/>
      <c r="K566" s="4"/>
      <c r="L566" s="4"/>
      <c r="M566" s="4"/>
      <c r="N566" s="4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9"/>
      <c r="BJ566" s="19">
        <f t="shared" si="151"/>
        <v>0</v>
      </c>
      <c r="BK566" s="6"/>
      <c r="BL566" s="6"/>
      <c r="BM566" s="6"/>
      <c r="BN566" s="6"/>
      <c r="BO566" s="6"/>
    </row>
    <row r="567" spans="1:67" ht="13.4" customHeight="1">
      <c r="A567" s="6"/>
      <c r="B567" s="6"/>
      <c r="C567" s="6"/>
      <c r="D567" s="6"/>
      <c r="E567" s="6"/>
      <c r="F567" s="6"/>
      <c r="G567" s="6"/>
      <c r="H567" s="4"/>
      <c r="I567" s="4"/>
      <c r="J567" s="4"/>
      <c r="K567" s="4"/>
      <c r="L567" s="4"/>
      <c r="M567" s="4"/>
      <c r="N567" s="4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9"/>
      <c r="BJ567" s="19">
        <f t="shared" si="151"/>
        <v>0</v>
      </c>
      <c r="BK567" s="6"/>
      <c r="BL567" s="6"/>
      <c r="BM567" s="6"/>
      <c r="BN567" s="6"/>
      <c r="BO567" s="6"/>
    </row>
    <row r="568" spans="1:67" ht="13.4" customHeight="1">
      <c r="A568" s="6"/>
      <c r="B568" s="6"/>
      <c r="C568" s="6"/>
      <c r="D568" s="6"/>
      <c r="E568" s="6"/>
      <c r="F568" s="6"/>
      <c r="G568" s="6"/>
      <c r="H568" s="4"/>
      <c r="I568" s="4"/>
      <c r="J568" s="4"/>
      <c r="K568" s="4"/>
      <c r="L568" s="4"/>
      <c r="M568" s="4"/>
      <c r="N568" s="4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9"/>
      <c r="BJ568" s="19">
        <f t="shared" si="151"/>
        <v>0</v>
      </c>
      <c r="BK568" s="6"/>
      <c r="BL568" s="6"/>
      <c r="BM568" s="6"/>
      <c r="BN568" s="6"/>
      <c r="BO568" s="6"/>
    </row>
    <row r="569" spans="1:67" ht="13.4" customHeight="1">
      <c r="A569" s="6"/>
      <c r="B569" s="6"/>
      <c r="C569" s="6"/>
      <c r="D569" s="6"/>
      <c r="E569" s="6"/>
      <c r="F569" s="6"/>
      <c r="G569" s="6"/>
      <c r="H569" s="4"/>
      <c r="I569" s="4"/>
      <c r="J569" s="4"/>
      <c r="K569" s="4"/>
      <c r="L569" s="4"/>
      <c r="M569" s="4"/>
      <c r="N569" s="4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9"/>
      <c r="BJ569" s="19">
        <f t="shared" si="151"/>
        <v>0</v>
      </c>
      <c r="BK569" s="6"/>
      <c r="BL569" s="6"/>
      <c r="BM569" s="6"/>
      <c r="BN569" s="6"/>
      <c r="BO569" s="6"/>
    </row>
    <row r="570" spans="1:67" ht="13.4" customHeight="1">
      <c r="A570" s="6"/>
      <c r="B570" s="6"/>
      <c r="C570" s="6"/>
      <c r="D570" s="6"/>
      <c r="E570" s="6"/>
      <c r="F570" s="6"/>
      <c r="G570" s="6"/>
      <c r="H570" s="4"/>
      <c r="I570" s="4"/>
      <c r="J570" s="4"/>
      <c r="K570" s="4"/>
      <c r="L570" s="4"/>
      <c r="M570" s="4"/>
      <c r="N570" s="4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9"/>
      <c r="BJ570" s="19">
        <f t="shared" si="151"/>
        <v>0</v>
      </c>
      <c r="BK570" s="6"/>
      <c r="BL570" s="6"/>
      <c r="BM570" s="6"/>
      <c r="BN570" s="6"/>
      <c r="BO570" s="6"/>
    </row>
    <row r="571" spans="1:67" ht="13.4" customHeight="1">
      <c r="A571" s="6"/>
      <c r="B571" s="6"/>
      <c r="C571" s="6"/>
      <c r="D571" s="6"/>
      <c r="E571" s="6"/>
      <c r="F571" s="6"/>
      <c r="G571" s="6"/>
      <c r="H571" s="4"/>
      <c r="I571" s="4"/>
      <c r="J571" s="4"/>
      <c r="K571" s="4"/>
      <c r="L571" s="4"/>
      <c r="M571" s="4"/>
      <c r="N571" s="4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9"/>
      <c r="BJ571" s="19">
        <f t="shared" si="151"/>
        <v>0</v>
      </c>
      <c r="BK571" s="6"/>
      <c r="BL571" s="6"/>
      <c r="BM571" s="6"/>
      <c r="BN571" s="6"/>
      <c r="BO571" s="6"/>
    </row>
    <row r="572" spans="1:67" ht="13.4" customHeight="1">
      <c r="A572" s="6"/>
      <c r="B572" s="6"/>
      <c r="C572" s="6"/>
      <c r="D572" s="6"/>
      <c r="E572" s="6"/>
      <c r="F572" s="6"/>
      <c r="G572" s="6"/>
      <c r="H572" s="4"/>
      <c r="I572" s="4"/>
      <c r="J572" s="4"/>
      <c r="K572" s="4"/>
      <c r="L572" s="4"/>
      <c r="M572" s="4"/>
      <c r="N572" s="4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9"/>
      <c r="BJ572" s="19">
        <f t="shared" si="151"/>
        <v>0</v>
      </c>
      <c r="BK572" s="6"/>
      <c r="BL572" s="6"/>
      <c r="BM572" s="6"/>
      <c r="BN572" s="6"/>
      <c r="BO572" s="6"/>
    </row>
    <row r="573" spans="1:67" ht="13.4" customHeight="1">
      <c r="A573" s="6"/>
      <c r="B573" s="6"/>
      <c r="C573" s="6"/>
      <c r="D573" s="6"/>
      <c r="E573" s="6"/>
      <c r="F573" s="6"/>
      <c r="G573" s="6"/>
      <c r="H573" s="4"/>
      <c r="I573" s="4"/>
      <c r="J573" s="4"/>
      <c r="K573" s="4"/>
      <c r="L573" s="4"/>
      <c r="M573" s="4"/>
      <c r="N573" s="4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9"/>
      <c r="BJ573" s="19">
        <f t="shared" si="151"/>
        <v>0</v>
      </c>
      <c r="BK573" s="6"/>
      <c r="BL573" s="6"/>
      <c r="BM573" s="6"/>
      <c r="BN573" s="6"/>
      <c r="BO573" s="6"/>
    </row>
    <row r="574" spans="1:67" ht="13.4" customHeight="1">
      <c r="A574" s="6"/>
      <c r="B574" s="6"/>
      <c r="C574" s="6"/>
      <c r="D574" s="6"/>
      <c r="E574" s="6"/>
      <c r="F574" s="6"/>
      <c r="G574" s="6"/>
      <c r="H574" s="4"/>
      <c r="I574" s="4"/>
      <c r="J574" s="4"/>
      <c r="K574" s="4"/>
      <c r="L574" s="4"/>
      <c r="M574" s="4"/>
      <c r="N574" s="4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9"/>
      <c r="BJ574" s="19">
        <f t="shared" si="151"/>
        <v>0</v>
      </c>
      <c r="BK574" s="6"/>
      <c r="BL574" s="6"/>
      <c r="BM574" s="6"/>
      <c r="BN574" s="6"/>
      <c r="BO574" s="6"/>
    </row>
    <row r="575" spans="1:67" ht="13.4" customHeight="1">
      <c r="A575" s="6"/>
      <c r="B575" s="6"/>
      <c r="C575" s="6"/>
      <c r="D575" s="6"/>
      <c r="E575" s="6"/>
      <c r="F575" s="6"/>
      <c r="G575" s="6"/>
      <c r="H575" s="4"/>
      <c r="I575" s="4"/>
      <c r="J575" s="4"/>
      <c r="K575" s="4"/>
      <c r="L575" s="4"/>
      <c r="M575" s="4"/>
      <c r="N575" s="4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9"/>
      <c r="BJ575" s="19">
        <f t="shared" si="151"/>
        <v>0</v>
      </c>
      <c r="BK575" s="6"/>
      <c r="BL575" s="6"/>
      <c r="BM575" s="6"/>
      <c r="BN575" s="6"/>
      <c r="BO575" s="6"/>
    </row>
    <row r="576" spans="1:67" ht="13.4" customHeight="1">
      <c r="A576" s="6"/>
      <c r="B576" s="6"/>
      <c r="C576" s="6"/>
      <c r="D576" s="6"/>
      <c r="E576" s="6"/>
      <c r="F576" s="6"/>
      <c r="G576" s="6"/>
      <c r="H576" s="4"/>
      <c r="I576" s="4"/>
      <c r="J576" s="4"/>
      <c r="K576" s="4"/>
      <c r="L576" s="4"/>
      <c r="M576" s="4"/>
      <c r="N576" s="4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9"/>
      <c r="BJ576" s="19">
        <f t="shared" si="151"/>
        <v>0</v>
      </c>
      <c r="BK576" s="6"/>
      <c r="BL576" s="6"/>
      <c r="BM576" s="6"/>
      <c r="BN576" s="6"/>
      <c r="BO576" s="6"/>
    </row>
    <row r="577" spans="1:67" ht="13.4" customHeight="1">
      <c r="A577" s="6"/>
      <c r="B577" s="6"/>
      <c r="C577" s="6"/>
      <c r="D577" s="6"/>
      <c r="E577" s="6"/>
      <c r="F577" s="6"/>
      <c r="G577" s="6"/>
      <c r="H577" s="4"/>
      <c r="I577" s="4"/>
      <c r="J577" s="4"/>
      <c r="K577" s="4"/>
      <c r="L577" s="4"/>
      <c r="M577" s="4"/>
      <c r="N577" s="4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9"/>
      <c r="BJ577" s="19">
        <f t="shared" si="151"/>
        <v>0</v>
      </c>
      <c r="BK577" s="6"/>
      <c r="BL577" s="6"/>
      <c r="BM577" s="6"/>
      <c r="BN577" s="6"/>
      <c r="BO577" s="6"/>
    </row>
    <row r="578" spans="1:67" ht="13.4" customHeight="1">
      <c r="A578" s="6"/>
      <c r="B578" s="6"/>
      <c r="C578" s="6"/>
      <c r="D578" s="6"/>
      <c r="E578" s="6"/>
      <c r="F578" s="6"/>
      <c r="G578" s="6"/>
      <c r="H578" s="4"/>
      <c r="I578" s="4"/>
      <c r="J578" s="4"/>
      <c r="K578" s="4"/>
      <c r="L578" s="4"/>
      <c r="M578" s="4"/>
      <c r="N578" s="4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9"/>
      <c r="BJ578" s="19">
        <f t="shared" si="151"/>
        <v>0</v>
      </c>
      <c r="BK578" s="6"/>
      <c r="BL578" s="6"/>
      <c r="BM578" s="6"/>
      <c r="BN578" s="6"/>
      <c r="BO578" s="6"/>
    </row>
    <row r="579" spans="1:67" ht="13.4" customHeight="1">
      <c r="A579" s="6"/>
      <c r="B579" s="6"/>
      <c r="C579" s="6"/>
      <c r="D579" s="6"/>
      <c r="E579" s="6"/>
      <c r="F579" s="6"/>
      <c r="G579" s="6"/>
      <c r="H579" s="4"/>
      <c r="I579" s="4"/>
      <c r="J579" s="4"/>
      <c r="K579" s="4"/>
      <c r="L579" s="4"/>
      <c r="M579" s="4"/>
      <c r="N579" s="4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9"/>
      <c r="BJ579" s="19">
        <f t="shared" ref="BJ579:BJ642" si="152">A579</f>
        <v>0</v>
      </c>
      <c r="BK579" s="6"/>
      <c r="BL579" s="6"/>
      <c r="BM579" s="6"/>
      <c r="BN579" s="6"/>
      <c r="BO579" s="6"/>
    </row>
    <row r="580" spans="1:67" ht="13.4" customHeight="1">
      <c r="A580" s="6"/>
      <c r="B580" s="6"/>
      <c r="C580" s="6"/>
      <c r="D580" s="6"/>
      <c r="E580" s="6"/>
      <c r="F580" s="6"/>
      <c r="G580" s="6"/>
      <c r="H580" s="4"/>
      <c r="I580" s="4"/>
      <c r="J580" s="4"/>
      <c r="K580" s="4"/>
      <c r="L580" s="4"/>
      <c r="M580" s="4"/>
      <c r="N580" s="4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9"/>
      <c r="BJ580" s="19">
        <f t="shared" si="152"/>
        <v>0</v>
      </c>
      <c r="BK580" s="6"/>
      <c r="BL580" s="6"/>
      <c r="BM580" s="6"/>
      <c r="BN580" s="6"/>
      <c r="BO580" s="6"/>
    </row>
    <row r="581" spans="1:67" ht="13.4" customHeight="1">
      <c r="A581" s="6"/>
      <c r="B581" s="6"/>
      <c r="C581" s="6"/>
      <c r="D581" s="6"/>
      <c r="E581" s="6"/>
      <c r="F581" s="6"/>
      <c r="G581" s="6"/>
      <c r="H581" s="4"/>
      <c r="I581" s="4"/>
      <c r="J581" s="4"/>
      <c r="K581" s="4"/>
      <c r="L581" s="4"/>
      <c r="M581" s="4"/>
      <c r="N581" s="4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9"/>
      <c r="BJ581" s="19">
        <f t="shared" si="152"/>
        <v>0</v>
      </c>
      <c r="BK581" s="6"/>
      <c r="BL581" s="6"/>
      <c r="BM581" s="6"/>
      <c r="BN581" s="6"/>
      <c r="BO581" s="6"/>
    </row>
    <row r="582" spans="1:67" ht="13.4" customHeight="1">
      <c r="A582" s="6"/>
      <c r="B582" s="6"/>
      <c r="C582" s="6"/>
      <c r="D582" s="6"/>
      <c r="E582" s="6"/>
      <c r="F582" s="6"/>
      <c r="G582" s="6"/>
      <c r="H582" s="4"/>
      <c r="I582" s="4"/>
      <c r="J582" s="4"/>
      <c r="K582" s="4"/>
      <c r="L582" s="4"/>
      <c r="M582" s="4"/>
      <c r="N582" s="4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9"/>
      <c r="BJ582" s="19">
        <f t="shared" si="152"/>
        <v>0</v>
      </c>
      <c r="BK582" s="6"/>
      <c r="BL582" s="6"/>
      <c r="BM582" s="6"/>
      <c r="BN582" s="6"/>
      <c r="BO582" s="6"/>
    </row>
    <row r="583" spans="1:67" ht="13.4" customHeight="1">
      <c r="A583" s="6"/>
      <c r="B583" s="6"/>
      <c r="C583" s="6"/>
      <c r="D583" s="6"/>
      <c r="E583" s="6"/>
      <c r="F583" s="6"/>
      <c r="G583" s="6"/>
      <c r="H583" s="4"/>
      <c r="I583" s="4"/>
      <c r="J583" s="4"/>
      <c r="K583" s="4"/>
      <c r="L583" s="4"/>
      <c r="M583" s="4"/>
      <c r="N583" s="4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9"/>
      <c r="BJ583" s="19">
        <f t="shared" si="152"/>
        <v>0</v>
      </c>
      <c r="BK583" s="6"/>
      <c r="BL583" s="6"/>
      <c r="BM583" s="6"/>
      <c r="BN583" s="6"/>
      <c r="BO583" s="6"/>
    </row>
    <row r="584" spans="1:67" ht="13.4" customHeight="1">
      <c r="A584" s="6"/>
      <c r="B584" s="6"/>
      <c r="C584" s="6"/>
      <c r="D584" s="6"/>
      <c r="E584" s="6"/>
      <c r="F584" s="6"/>
      <c r="G584" s="6"/>
      <c r="H584" s="4"/>
      <c r="I584" s="4"/>
      <c r="J584" s="4"/>
      <c r="K584" s="4"/>
      <c r="L584" s="4"/>
      <c r="M584" s="4"/>
      <c r="N584" s="4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9"/>
      <c r="BJ584" s="19">
        <f t="shared" si="152"/>
        <v>0</v>
      </c>
      <c r="BK584" s="6"/>
      <c r="BL584" s="6"/>
      <c r="BM584" s="6"/>
      <c r="BN584" s="6"/>
      <c r="BO584" s="6"/>
    </row>
    <row r="585" spans="1:67" ht="13.4" customHeight="1">
      <c r="A585" s="6"/>
      <c r="B585" s="6"/>
      <c r="C585" s="6"/>
      <c r="D585" s="6"/>
      <c r="E585" s="6"/>
      <c r="F585" s="6"/>
      <c r="G585" s="6"/>
      <c r="H585" s="4"/>
      <c r="I585" s="4"/>
      <c r="J585" s="4"/>
      <c r="K585" s="4"/>
      <c r="L585" s="4"/>
      <c r="M585" s="4"/>
      <c r="N585" s="4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9"/>
      <c r="BJ585" s="19">
        <f t="shared" si="152"/>
        <v>0</v>
      </c>
      <c r="BK585" s="6"/>
      <c r="BL585" s="6"/>
      <c r="BM585" s="6"/>
      <c r="BN585" s="6"/>
      <c r="BO585" s="6"/>
    </row>
    <row r="586" spans="1:67" ht="13.4" customHeight="1">
      <c r="A586" s="6"/>
      <c r="B586" s="6"/>
      <c r="C586" s="6"/>
      <c r="D586" s="6"/>
      <c r="E586" s="6"/>
      <c r="F586" s="6"/>
      <c r="G586" s="6"/>
      <c r="H586" s="4"/>
      <c r="I586" s="4"/>
      <c r="J586" s="4"/>
      <c r="K586" s="4"/>
      <c r="L586" s="4"/>
      <c r="M586" s="4"/>
      <c r="N586" s="4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9"/>
      <c r="BJ586" s="19">
        <f t="shared" si="152"/>
        <v>0</v>
      </c>
      <c r="BK586" s="6"/>
      <c r="BL586" s="6"/>
      <c r="BM586" s="6"/>
      <c r="BN586" s="6"/>
      <c r="BO586" s="6"/>
    </row>
    <row r="587" spans="1:67" ht="13.4" customHeight="1">
      <c r="A587" s="6"/>
      <c r="B587" s="6"/>
      <c r="C587" s="6"/>
      <c r="D587" s="6"/>
      <c r="E587" s="6"/>
      <c r="F587" s="6"/>
      <c r="G587" s="6"/>
      <c r="H587" s="4"/>
      <c r="I587" s="4"/>
      <c r="J587" s="4"/>
      <c r="K587" s="4"/>
      <c r="L587" s="4"/>
      <c r="M587" s="4"/>
      <c r="N587" s="4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9"/>
      <c r="BJ587" s="19">
        <f t="shared" si="152"/>
        <v>0</v>
      </c>
      <c r="BK587" s="6"/>
      <c r="BL587" s="6"/>
      <c r="BM587" s="6"/>
      <c r="BN587" s="6"/>
      <c r="BO587" s="6"/>
    </row>
    <row r="588" spans="1:67" ht="13.4" customHeight="1">
      <c r="A588" s="6"/>
      <c r="B588" s="6"/>
      <c r="C588" s="6"/>
      <c r="D588" s="6"/>
      <c r="E588" s="6"/>
      <c r="F588" s="6"/>
      <c r="G588" s="6"/>
      <c r="H588" s="4"/>
      <c r="I588" s="4"/>
      <c r="J588" s="4"/>
      <c r="K588" s="4"/>
      <c r="L588" s="4"/>
      <c r="M588" s="4"/>
      <c r="N588" s="4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9"/>
      <c r="BJ588" s="19">
        <f t="shared" si="152"/>
        <v>0</v>
      </c>
      <c r="BK588" s="6"/>
      <c r="BL588" s="6"/>
      <c r="BM588" s="6"/>
      <c r="BN588" s="6"/>
      <c r="BO588" s="6"/>
    </row>
    <row r="589" spans="1:67" ht="13.4" customHeight="1">
      <c r="A589" s="6"/>
      <c r="B589" s="6"/>
      <c r="C589" s="6"/>
      <c r="D589" s="6"/>
      <c r="E589" s="6"/>
      <c r="F589" s="6"/>
      <c r="G589" s="6"/>
      <c r="H589" s="4"/>
      <c r="I589" s="4"/>
      <c r="J589" s="4"/>
      <c r="K589" s="4"/>
      <c r="L589" s="4"/>
      <c r="M589" s="4"/>
      <c r="N589" s="4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9"/>
      <c r="BJ589" s="19">
        <f t="shared" si="152"/>
        <v>0</v>
      </c>
      <c r="BK589" s="6"/>
      <c r="BL589" s="6"/>
      <c r="BM589" s="6"/>
      <c r="BN589" s="6"/>
      <c r="BO589" s="6"/>
    </row>
    <row r="590" spans="1:67" ht="13.4" customHeight="1">
      <c r="A590" s="6"/>
      <c r="B590" s="6"/>
      <c r="C590" s="6"/>
      <c r="D590" s="6"/>
      <c r="E590" s="6"/>
      <c r="F590" s="6"/>
      <c r="G590" s="6"/>
      <c r="H590" s="4"/>
      <c r="I590" s="4"/>
      <c r="J590" s="4"/>
      <c r="K590" s="4"/>
      <c r="L590" s="4"/>
      <c r="M590" s="4"/>
      <c r="N590" s="4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9"/>
      <c r="BJ590" s="19">
        <f t="shared" si="152"/>
        <v>0</v>
      </c>
      <c r="BK590" s="6"/>
      <c r="BL590" s="6"/>
      <c r="BM590" s="6"/>
      <c r="BN590" s="6"/>
      <c r="BO590" s="6"/>
    </row>
    <row r="591" spans="1:67" ht="13.4" customHeight="1">
      <c r="A591" s="6"/>
      <c r="B591" s="6"/>
      <c r="C591" s="6"/>
      <c r="D591" s="6"/>
      <c r="E591" s="6"/>
      <c r="F591" s="6"/>
      <c r="G591" s="6"/>
      <c r="H591" s="4"/>
      <c r="I591" s="4"/>
      <c r="J591" s="4"/>
      <c r="K591" s="4"/>
      <c r="L591" s="4"/>
      <c r="M591" s="4"/>
      <c r="N591" s="4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9"/>
      <c r="BJ591" s="19">
        <f t="shared" si="152"/>
        <v>0</v>
      </c>
      <c r="BK591" s="6"/>
      <c r="BL591" s="6"/>
      <c r="BM591" s="6"/>
      <c r="BN591" s="6"/>
      <c r="BO591" s="6"/>
    </row>
    <row r="592" spans="1:67" ht="13.4" customHeight="1">
      <c r="A592" s="6"/>
      <c r="B592" s="6"/>
      <c r="C592" s="6"/>
      <c r="D592" s="6"/>
      <c r="E592" s="6"/>
      <c r="F592" s="6"/>
      <c r="G592" s="6"/>
      <c r="H592" s="4"/>
      <c r="I592" s="4"/>
      <c r="J592" s="4"/>
      <c r="K592" s="4"/>
      <c r="L592" s="4"/>
      <c r="M592" s="4"/>
      <c r="N592" s="4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9"/>
      <c r="BJ592" s="19">
        <f t="shared" si="152"/>
        <v>0</v>
      </c>
      <c r="BK592" s="6"/>
      <c r="BL592" s="6"/>
      <c r="BM592" s="6"/>
      <c r="BN592" s="6"/>
      <c r="BO592" s="6"/>
    </row>
    <row r="593" spans="1:67" ht="13.4" customHeight="1">
      <c r="A593" s="6"/>
      <c r="B593" s="6"/>
      <c r="C593" s="6"/>
      <c r="D593" s="6"/>
      <c r="E593" s="6"/>
      <c r="F593" s="6"/>
      <c r="G593" s="6"/>
      <c r="H593" s="4"/>
      <c r="I593" s="4"/>
      <c r="J593" s="4"/>
      <c r="K593" s="4"/>
      <c r="L593" s="4"/>
      <c r="M593" s="4"/>
      <c r="N593" s="4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9"/>
      <c r="BJ593" s="19">
        <f t="shared" si="152"/>
        <v>0</v>
      </c>
      <c r="BK593" s="6"/>
      <c r="BL593" s="6"/>
      <c r="BM593" s="6"/>
      <c r="BN593" s="6"/>
      <c r="BO593" s="6"/>
    </row>
    <row r="594" spans="1:67" ht="13.4" customHeight="1">
      <c r="A594" s="6"/>
      <c r="B594" s="6"/>
      <c r="C594" s="6"/>
      <c r="D594" s="6"/>
      <c r="E594" s="6"/>
      <c r="F594" s="6"/>
      <c r="G594" s="6"/>
      <c r="H594" s="4"/>
      <c r="I594" s="4"/>
      <c r="J594" s="4"/>
      <c r="K594" s="4"/>
      <c r="L594" s="4"/>
      <c r="M594" s="4"/>
      <c r="N594" s="4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9"/>
      <c r="BJ594" s="19">
        <f t="shared" si="152"/>
        <v>0</v>
      </c>
      <c r="BK594" s="6"/>
      <c r="BL594" s="6"/>
      <c r="BM594" s="6"/>
      <c r="BN594" s="6"/>
      <c r="BO594" s="6"/>
    </row>
    <row r="595" spans="1:67" ht="13.4" customHeight="1">
      <c r="A595" s="6"/>
      <c r="B595" s="6"/>
      <c r="C595" s="6"/>
      <c r="D595" s="6"/>
      <c r="E595" s="6"/>
      <c r="F595" s="6"/>
      <c r="G595" s="6"/>
      <c r="H595" s="4"/>
      <c r="I595" s="4"/>
      <c r="J595" s="4"/>
      <c r="K595" s="4"/>
      <c r="L595" s="4"/>
      <c r="M595" s="4"/>
      <c r="N595" s="4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9"/>
      <c r="BJ595" s="19">
        <f t="shared" si="152"/>
        <v>0</v>
      </c>
      <c r="BK595" s="6"/>
      <c r="BL595" s="6"/>
      <c r="BM595" s="6"/>
      <c r="BN595" s="6"/>
      <c r="BO595" s="6"/>
    </row>
    <row r="596" spans="1:67" ht="13.4" customHeight="1">
      <c r="A596" s="6"/>
      <c r="B596" s="6"/>
      <c r="C596" s="6"/>
      <c r="D596" s="6"/>
      <c r="E596" s="6"/>
      <c r="F596" s="6"/>
      <c r="G596" s="6"/>
      <c r="H596" s="4"/>
      <c r="I596" s="4"/>
      <c r="J596" s="4"/>
      <c r="K596" s="4"/>
      <c r="L596" s="4"/>
      <c r="M596" s="4"/>
      <c r="N596" s="4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9"/>
      <c r="BJ596" s="19">
        <f t="shared" si="152"/>
        <v>0</v>
      </c>
      <c r="BK596" s="6"/>
      <c r="BL596" s="6"/>
      <c r="BM596" s="6"/>
      <c r="BN596" s="6"/>
      <c r="BO596" s="6"/>
    </row>
    <row r="597" spans="1:67" ht="13.4" customHeight="1">
      <c r="A597" s="6"/>
      <c r="B597" s="6"/>
      <c r="C597" s="6"/>
      <c r="D597" s="6"/>
      <c r="E597" s="6"/>
      <c r="F597" s="6"/>
      <c r="G597" s="6"/>
      <c r="H597" s="4"/>
      <c r="I597" s="4"/>
      <c r="J597" s="4"/>
      <c r="K597" s="4"/>
      <c r="L597" s="4"/>
      <c r="M597" s="4"/>
      <c r="N597" s="4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9"/>
      <c r="BJ597" s="19">
        <f t="shared" si="152"/>
        <v>0</v>
      </c>
      <c r="BK597" s="6"/>
      <c r="BL597" s="6"/>
      <c r="BM597" s="6"/>
      <c r="BN597" s="6"/>
      <c r="BO597" s="6"/>
    </row>
    <row r="598" spans="1:67" ht="13.4" customHeight="1">
      <c r="A598" s="6"/>
      <c r="B598" s="6"/>
      <c r="C598" s="6"/>
      <c r="D598" s="6"/>
      <c r="E598" s="6"/>
      <c r="F598" s="6"/>
      <c r="G598" s="6"/>
      <c r="H598" s="4"/>
      <c r="I598" s="4"/>
      <c r="J598" s="4"/>
      <c r="K598" s="4"/>
      <c r="L598" s="4"/>
      <c r="M598" s="4"/>
      <c r="N598" s="4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9"/>
      <c r="BJ598" s="19">
        <f t="shared" si="152"/>
        <v>0</v>
      </c>
      <c r="BK598" s="6"/>
      <c r="BL598" s="6"/>
      <c r="BM598" s="6"/>
      <c r="BN598" s="6"/>
      <c r="BO598" s="6"/>
    </row>
    <row r="599" spans="1:67" ht="13.4" customHeight="1">
      <c r="A599" s="6"/>
      <c r="B599" s="6"/>
      <c r="C599" s="6"/>
      <c r="D599" s="6"/>
      <c r="E599" s="6"/>
      <c r="F599" s="6"/>
      <c r="G599" s="6"/>
      <c r="H599" s="4"/>
      <c r="I599" s="4"/>
      <c r="J599" s="4"/>
      <c r="K599" s="4"/>
      <c r="L599" s="4"/>
      <c r="M599" s="4"/>
      <c r="N599" s="4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9"/>
      <c r="BJ599" s="19">
        <f t="shared" si="152"/>
        <v>0</v>
      </c>
      <c r="BK599" s="6"/>
      <c r="BL599" s="6"/>
      <c r="BM599" s="6"/>
      <c r="BN599" s="6"/>
      <c r="BO599" s="6"/>
    </row>
    <row r="600" spans="1:67" ht="13.4" customHeight="1">
      <c r="A600" s="6"/>
      <c r="B600" s="6"/>
      <c r="C600" s="6"/>
      <c r="D600" s="6"/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9"/>
      <c r="BJ600" s="19">
        <f t="shared" si="152"/>
        <v>0</v>
      </c>
      <c r="BK600" s="6"/>
      <c r="BL600" s="6"/>
      <c r="BM600" s="6"/>
      <c r="BN600" s="6"/>
      <c r="BO600" s="6"/>
    </row>
    <row r="601" spans="1:67" ht="13.4" customHeight="1">
      <c r="A601" s="6"/>
      <c r="B601" s="6"/>
      <c r="C601" s="6"/>
      <c r="D601" s="6"/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9"/>
      <c r="BJ601" s="19">
        <f t="shared" si="152"/>
        <v>0</v>
      </c>
      <c r="BK601" s="6"/>
      <c r="BL601" s="6"/>
      <c r="BM601" s="6"/>
      <c r="BN601" s="6"/>
      <c r="BO601" s="6"/>
    </row>
    <row r="602" spans="1:67" ht="13.4" customHeight="1">
      <c r="A602" s="6"/>
      <c r="B602" s="6"/>
      <c r="C602" s="6"/>
      <c r="D602" s="6"/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9"/>
      <c r="BJ602" s="19">
        <f t="shared" si="152"/>
        <v>0</v>
      </c>
      <c r="BK602" s="6"/>
      <c r="BL602" s="6"/>
      <c r="BM602" s="6"/>
      <c r="BN602" s="6"/>
      <c r="BO602" s="6"/>
    </row>
    <row r="603" spans="1:67" ht="13.4" customHeight="1">
      <c r="A603" s="6"/>
      <c r="B603" s="6"/>
      <c r="C603" s="6"/>
      <c r="D603" s="6"/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9"/>
      <c r="BJ603" s="19">
        <f t="shared" si="152"/>
        <v>0</v>
      </c>
      <c r="BK603" s="6"/>
      <c r="BL603" s="6"/>
      <c r="BM603" s="6"/>
      <c r="BN603" s="6"/>
      <c r="BO603" s="6"/>
    </row>
    <row r="604" spans="1:67" ht="13.4" customHeight="1">
      <c r="A604" s="6"/>
      <c r="B604" s="6"/>
      <c r="C604" s="6"/>
      <c r="D604" s="6"/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9"/>
      <c r="BJ604" s="19">
        <f t="shared" si="152"/>
        <v>0</v>
      </c>
      <c r="BK604" s="6"/>
      <c r="BL604" s="6"/>
      <c r="BM604" s="6"/>
      <c r="BN604" s="6"/>
      <c r="BO604" s="6"/>
    </row>
    <row r="605" spans="1:67" ht="13.4" customHeight="1">
      <c r="A605" s="6"/>
      <c r="B605" s="6"/>
      <c r="C605" s="6"/>
      <c r="D605" s="6"/>
      <c r="E605" s="6"/>
      <c r="F605" s="6"/>
      <c r="G605" s="6"/>
      <c r="H605" s="4"/>
      <c r="I605" s="4"/>
      <c r="J605" s="4"/>
      <c r="K605" s="4"/>
      <c r="L605" s="4"/>
      <c r="M605" s="4"/>
      <c r="N605" s="4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9"/>
      <c r="BJ605" s="19">
        <f t="shared" si="152"/>
        <v>0</v>
      </c>
      <c r="BK605" s="6"/>
      <c r="BL605" s="6"/>
      <c r="BM605" s="6"/>
      <c r="BN605" s="6"/>
      <c r="BO605" s="6"/>
    </row>
    <row r="606" spans="1:67" ht="13.4" customHeight="1">
      <c r="A606" s="6"/>
      <c r="B606" s="6"/>
      <c r="C606" s="6"/>
      <c r="D606" s="6"/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9"/>
      <c r="BJ606" s="19">
        <f t="shared" si="152"/>
        <v>0</v>
      </c>
      <c r="BK606" s="6"/>
      <c r="BL606" s="6"/>
      <c r="BM606" s="6"/>
      <c r="BN606" s="6"/>
      <c r="BO606" s="6"/>
    </row>
    <row r="607" spans="1:67" ht="13.4" customHeight="1">
      <c r="A607" s="6"/>
      <c r="B607" s="6"/>
      <c r="C607" s="6"/>
      <c r="D607" s="6"/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9"/>
      <c r="BJ607" s="19">
        <f t="shared" si="152"/>
        <v>0</v>
      </c>
      <c r="BK607" s="6"/>
      <c r="BL607" s="6"/>
      <c r="BM607" s="6"/>
      <c r="BN607" s="6"/>
      <c r="BO607" s="6"/>
    </row>
    <row r="608" spans="1:67" ht="13.4" customHeight="1">
      <c r="A608" s="6"/>
      <c r="B608" s="6"/>
      <c r="C608" s="6"/>
      <c r="D608" s="6"/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9"/>
      <c r="BJ608" s="19">
        <f t="shared" si="152"/>
        <v>0</v>
      </c>
      <c r="BK608" s="6"/>
      <c r="BL608" s="6"/>
      <c r="BM608" s="6"/>
      <c r="BN608" s="6"/>
      <c r="BO608" s="6"/>
    </row>
    <row r="609" spans="1:67" ht="13.4" customHeight="1">
      <c r="A609" s="6"/>
      <c r="B609" s="6"/>
      <c r="C609" s="6"/>
      <c r="D609" s="6"/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9"/>
      <c r="BJ609" s="19">
        <f t="shared" si="152"/>
        <v>0</v>
      </c>
      <c r="BK609" s="6"/>
      <c r="BL609" s="6"/>
      <c r="BM609" s="6"/>
      <c r="BN609" s="6"/>
      <c r="BO609" s="6"/>
    </row>
    <row r="610" spans="1:67" ht="13.4" customHeight="1">
      <c r="A610" s="6"/>
      <c r="B610" s="6"/>
      <c r="C610" s="6"/>
      <c r="D610" s="6"/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9"/>
      <c r="BJ610" s="19">
        <f t="shared" si="152"/>
        <v>0</v>
      </c>
      <c r="BK610" s="6"/>
      <c r="BL610" s="6"/>
      <c r="BM610" s="6"/>
      <c r="BN610" s="6"/>
      <c r="BO610" s="6"/>
    </row>
    <row r="611" spans="1:67" ht="13.4" customHeight="1">
      <c r="A611" s="6"/>
      <c r="B611" s="6"/>
      <c r="C611" s="6"/>
      <c r="D611" s="6"/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9"/>
      <c r="BJ611" s="19">
        <f t="shared" si="152"/>
        <v>0</v>
      </c>
      <c r="BK611" s="6"/>
      <c r="BL611" s="6"/>
      <c r="BM611" s="6"/>
      <c r="BN611" s="6"/>
      <c r="BO611" s="6"/>
    </row>
    <row r="612" spans="1:67" ht="13.4" customHeight="1">
      <c r="A612" s="6"/>
      <c r="B612" s="6"/>
      <c r="C612" s="6"/>
      <c r="D612" s="6"/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9"/>
      <c r="BJ612" s="19">
        <f t="shared" si="152"/>
        <v>0</v>
      </c>
      <c r="BK612" s="6"/>
      <c r="BL612" s="6"/>
      <c r="BM612" s="6"/>
      <c r="BN612" s="6"/>
      <c r="BO612" s="6"/>
    </row>
    <row r="613" spans="1:67" ht="13.4" customHeight="1">
      <c r="A613" s="6"/>
      <c r="B613" s="6"/>
      <c r="C613" s="6"/>
      <c r="D613" s="6"/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9"/>
      <c r="BJ613" s="19">
        <f t="shared" si="152"/>
        <v>0</v>
      </c>
      <c r="BK613" s="6"/>
      <c r="BL613" s="6"/>
      <c r="BM613" s="6"/>
      <c r="BN613" s="6"/>
      <c r="BO613" s="6"/>
    </row>
    <row r="614" spans="1:67" ht="13.4" customHeight="1">
      <c r="A614" s="6"/>
      <c r="B614" s="6"/>
      <c r="C614" s="6"/>
      <c r="D614" s="6"/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9"/>
      <c r="BJ614" s="19">
        <f t="shared" si="152"/>
        <v>0</v>
      </c>
      <c r="BK614" s="6"/>
      <c r="BL614" s="6"/>
      <c r="BM614" s="6"/>
      <c r="BN614" s="6"/>
      <c r="BO614" s="6"/>
    </row>
    <row r="615" spans="1:67" ht="13.4" customHeight="1">
      <c r="A615" s="6"/>
      <c r="B615" s="6"/>
      <c r="C615" s="6"/>
      <c r="D615" s="6"/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9"/>
      <c r="BJ615" s="19">
        <f t="shared" si="152"/>
        <v>0</v>
      </c>
      <c r="BK615" s="6"/>
      <c r="BL615" s="6"/>
      <c r="BM615" s="6"/>
      <c r="BN615" s="6"/>
      <c r="BO615" s="6"/>
    </row>
    <row r="616" spans="1:67" ht="13.4" customHeight="1">
      <c r="A616" s="6"/>
      <c r="B616" s="6"/>
      <c r="C616" s="6"/>
      <c r="D616" s="6"/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9"/>
      <c r="BJ616" s="19">
        <f t="shared" si="152"/>
        <v>0</v>
      </c>
      <c r="BK616" s="6"/>
      <c r="BL616" s="6"/>
      <c r="BM616" s="6"/>
      <c r="BN616" s="6"/>
      <c r="BO616" s="6"/>
    </row>
    <row r="617" spans="1:67" ht="13.4" customHeight="1">
      <c r="A617" s="6"/>
      <c r="B617" s="6"/>
      <c r="C617" s="6"/>
      <c r="D617" s="6"/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9"/>
      <c r="BJ617" s="19">
        <f t="shared" si="152"/>
        <v>0</v>
      </c>
      <c r="BK617" s="6"/>
      <c r="BL617" s="6"/>
      <c r="BM617" s="6"/>
      <c r="BN617" s="6"/>
      <c r="BO617" s="6"/>
    </row>
    <row r="618" spans="1:67" ht="13.4" customHeight="1">
      <c r="A618" s="6"/>
      <c r="B618" s="6"/>
      <c r="C618" s="6"/>
      <c r="D618" s="6"/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9"/>
      <c r="BJ618" s="19">
        <f t="shared" si="152"/>
        <v>0</v>
      </c>
      <c r="BK618" s="6"/>
      <c r="BL618" s="6"/>
      <c r="BM618" s="6"/>
      <c r="BN618" s="6"/>
      <c r="BO618" s="6"/>
    </row>
    <row r="619" spans="1:67" ht="13.4" customHeight="1">
      <c r="A619" s="6"/>
      <c r="B619" s="6"/>
      <c r="C619" s="6"/>
      <c r="D619" s="6"/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9"/>
      <c r="BJ619" s="19">
        <f t="shared" si="152"/>
        <v>0</v>
      </c>
      <c r="BK619" s="6"/>
      <c r="BL619" s="6"/>
      <c r="BM619" s="6"/>
      <c r="BN619" s="6"/>
      <c r="BO619" s="6"/>
    </row>
    <row r="620" spans="1:67" ht="13.4" customHeight="1">
      <c r="A620" s="6"/>
      <c r="B620" s="6"/>
      <c r="C620" s="6"/>
      <c r="D620" s="6"/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9"/>
      <c r="BJ620" s="19">
        <f t="shared" si="152"/>
        <v>0</v>
      </c>
      <c r="BK620" s="6"/>
      <c r="BL620" s="6"/>
      <c r="BM620" s="6"/>
      <c r="BN620" s="6"/>
      <c r="BO620" s="6"/>
    </row>
    <row r="621" spans="1:67" ht="13.4" customHeight="1">
      <c r="A621" s="6"/>
      <c r="B621" s="6"/>
      <c r="C621" s="6"/>
      <c r="D621" s="6"/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9"/>
      <c r="BJ621" s="19">
        <f t="shared" si="152"/>
        <v>0</v>
      </c>
      <c r="BK621" s="6"/>
      <c r="BL621" s="6"/>
      <c r="BM621" s="6"/>
      <c r="BN621" s="6"/>
      <c r="BO621" s="6"/>
    </row>
    <row r="622" spans="1:67" ht="13.4" customHeight="1">
      <c r="A622" s="6"/>
      <c r="B622" s="6"/>
      <c r="C622" s="6"/>
      <c r="D622" s="6"/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9"/>
      <c r="BJ622" s="19">
        <f t="shared" si="152"/>
        <v>0</v>
      </c>
      <c r="BK622" s="6"/>
      <c r="BL622" s="6"/>
      <c r="BM622" s="6"/>
      <c r="BN622" s="6"/>
      <c r="BO622" s="6"/>
    </row>
    <row r="623" spans="1:67" ht="13.4" customHeight="1">
      <c r="A623" s="6"/>
      <c r="B623" s="6"/>
      <c r="C623" s="6"/>
      <c r="D623" s="6"/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9"/>
      <c r="BJ623" s="19">
        <f t="shared" si="152"/>
        <v>0</v>
      </c>
      <c r="BK623" s="6"/>
      <c r="BL623" s="6"/>
      <c r="BM623" s="6"/>
      <c r="BN623" s="6"/>
      <c r="BO623" s="6"/>
    </row>
    <row r="624" spans="1:67" ht="13.4" customHeight="1">
      <c r="A624" s="6"/>
      <c r="B624" s="6"/>
      <c r="C624" s="6"/>
      <c r="D624" s="6"/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9"/>
      <c r="BJ624" s="19">
        <f t="shared" si="152"/>
        <v>0</v>
      </c>
      <c r="BK624" s="6"/>
      <c r="BL624" s="6"/>
      <c r="BM624" s="6"/>
      <c r="BN624" s="6"/>
      <c r="BO624" s="6"/>
    </row>
    <row r="625" spans="1:67" ht="13.4" customHeight="1">
      <c r="A625" s="6"/>
      <c r="B625" s="6"/>
      <c r="C625" s="6"/>
      <c r="D625" s="6"/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9"/>
      <c r="BJ625" s="19">
        <f t="shared" si="152"/>
        <v>0</v>
      </c>
      <c r="BK625" s="6"/>
      <c r="BL625" s="6"/>
      <c r="BM625" s="6"/>
      <c r="BN625" s="6"/>
      <c r="BO625" s="6"/>
    </row>
    <row r="626" spans="1:67" ht="13.4" customHeight="1">
      <c r="A626" s="6"/>
      <c r="B626" s="6"/>
      <c r="C626" s="6"/>
      <c r="D626" s="6"/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9"/>
      <c r="BJ626" s="19">
        <f t="shared" si="152"/>
        <v>0</v>
      </c>
      <c r="BK626" s="6"/>
      <c r="BL626" s="6"/>
      <c r="BM626" s="6"/>
      <c r="BN626" s="6"/>
      <c r="BO626" s="6"/>
    </row>
    <row r="627" spans="1:67" ht="13.4" customHeight="1">
      <c r="A627" s="6"/>
      <c r="B627" s="6"/>
      <c r="C627" s="6"/>
      <c r="D627" s="6"/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9"/>
      <c r="BJ627" s="19">
        <f t="shared" si="152"/>
        <v>0</v>
      </c>
      <c r="BK627" s="6"/>
      <c r="BL627" s="6"/>
      <c r="BM627" s="6"/>
      <c r="BN627" s="6"/>
      <c r="BO627" s="6"/>
    </row>
    <row r="628" spans="1:67" ht="13.4" customHeight="1">
      <c r="A628" s="6"/>
      <c r="B628" s="6"/>
      <c r="C628" s="6"/>
      <c r="D628" s="6"/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9"/>
      <c r="BJ628" s="19">
        <f t="shared" si="152"/>
        <v>0</v>
      </c>
      <c r="BK628" s="6"/>
      <c r="BL628" s="6"/>
      <c r="BM628" s="6"/>
      <c r="BN628" s="6"/>
      <c r="BO628" s="6"/>
    </row>
    <row r="629" spans="1:67" ht="13.4" customHeight="1">
      <c r="A629" s="6"/>
      <c r="B629" s="6"/>
      <c r="C629" s="6"/>
      <c r="D629" s="6"/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9"/>
      <c r="BJ629" s="19">
        <f t="shared" si="152"/>
        <v>0</v>
      </c>
      <c r="BK629" s="6"/>
      <c r="BL629" s="6"/>
      <c r="BM629" s="6"/>
      <c r="BN629" s="6"/>
      <c r="BO629" s="6"/>
    </row>
    <row r="630" spans="1:67" ht="13.4" customHeight="1">
      <c r="A630" s="6"/>
      <c r="B630" s="6"/>
      <c r="C630" s="6"/>
      <c r="D630" s="6"/>
      <c r="E630" s="6"/>
      <c r="F630" s="6"/>
      <c r="G630" s="6"/>
      <c r="H630" s="4"/>
      <c r="I630" s="4"/>
      <c r="J630" s="4"/>
      <c r="K630" s="4"/>
      <c r="L630" s="4"/>
      <c r="M630" s="4"/>
      <c r="N630" s="4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9"/>
      <c r="BJ630" s="19">
        <f t="shared" si="152"/>
        <v>0</v>
      </c>
      <c r="BK630" s="6"/>
      <c r="BL630" s="6"/>
      <c r="BM630" s="6"/>
      <c r="BN630" s="6"/>
      <c r="BO630" s="6"/>
    </row>
    <row r="631" spans="1:67" ht="13.4" customHeight="1">
      <c r="A631" s="6"/>
      <c r="B631" s="6"/>
      <c r="C631" s="6"/>
      <c r="D631" s="6"/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9"/>
      <c r="BJ631" s="19">
        <f t="shared" si="152"/>
        <v>0</v>
      </c>
      <c r="BK631" s="6"/>
      <c r="BL631" s="6"/>
      <c r="BM631" s="6"/>
      <c r="BN631" s="6"/>
      <c r="BO631" s="6"/>
    </row>
    <row r="632" spans="1:67" ht="13.4" customHeight="1">
      <c r="A632" s="6"/>
      <c r="B632" s="6"/>
      <c r="C632" s="6"/>
      <c r="D632" s="6"/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9"/>
      <c r="BJ632" s="19">
        <f t="shared" si="152"/>
        <v>0</v>
      </c>
      <c r="BK632" s="6"/>
      <c r="BL632" s="6"/>
      <c r="BM632" s="6"/>
      <c r="BN632" s="6"/>
      <c r="BO632" s="6"/>
    </row>
    <row r="633" spans="1:67" ht="13.4" customHeight="1">
      <c r="A633" s="6"/>
      <c r="B633" s="6"/>
      <c r="C633" s="6"/>
      <c r="D633" s="6"/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9"/>
      <c r="BJ633" s="19">
        <f t="shared" si="152"/>
        <v>0</v>
      </c>
      <c r="BK633" s="6"/>
      <c r="BL633" s="6"/>
      <c r="BM633" s="6"/>
      <c r="BN633" s="6"/>
      <c r="BO633" s="6"/>
    </row>
    <row r="634" spans="1:67" ht="13.4" customHeight="1">
      <c r="A634" s="6"/>
      <c r="B634" s="6"/>
      <c r="C634" s="6"/>
      <c r="D634" s="6"/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9"/>
      <c r="BJ634" s="19">
        <f t="shared" si="152"/>
        <v>0</v>
      </c>
      <c r="BK634" s="6"/>
      <c r="BL634" s="6"/>
      <c r="BM634" s="6"/>
      <c r="BN634" s="6"/>
      <c r="BO634" s="6"/>
    </row>
    <row r="635" spans="1:67" ht="13.4" customHeight="1">
      <c r="A635" s="6"/>
      <c r="B635" s="6"/>
      <c r="C635" s="6"/>
      <c r="D635" s="6"/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9"/>
      <c r="BJ635" s="19">
        <f t="shared" si="152"/>
        <v>0</v>
      </c>
      <c r="BK635" s="6"/>
      <c r="BL635" s="6"/>
      <c r="BM635" s="6"/>
      <c r="BN635" s="6"/>
      <c r="BO635" s="6"/>
    </row>
    <row r="636" spans="1:67" ht="13.4" customHeight="1">
      <c r="A636" s="6"/>
      <c r="B636" s="6"/>
      <c r="C636" s="6"/>
      <c r="D636" s="6"/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9"/>
      <c r="BJ636" s="19">
        <f t="shared" si="152"/>
        <v>0</v>
      </c>
      <c r="BK636" s="6"/>
      <c r="BL636" s="6"/>
      <c r="BM636" s="6"/>
      <c r="BN636" s="6"/>
      <c r="BO636" s="6"/>
    </row>
    <row r="637" spans="1:67" ht="13.4" customHeight="1">
      <c r="A637" s="6"/>
      <c r="B637" s="6"/>
      <c r="C637" s="6"/>
      <c r="D637" s="6"/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9"/>
      <c r="BJ637" s="19">
        <f t="shared" si="152"/>
        <v>0</v>
      </c>
      <c r="BK637" s="6"/>
      <c r="BL637" s="6"/>
      <c r="BM637" s="6"/>
      <c r="BN637" s="6"/>
      <c r="BO637" s="6"/>
    </row>
    <row r="638" spans="1:67" ht="13.4" customHeight="1">
      <c r="A638" s="6"/>
      <c r="B638" s="6"/>
      <c r="C638" s="6"/>
      <c r="D638" s="6"/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9"/>
      <c r="BJ638" s="19">
        <f t="shared" si="152"/>
        <v>0</v>
      </c>
      <c r="BK638" s="6"/>
      <c r="BL638" s="6"/>
      <c r="BM638" s="6"/>
      <c r="BN638" s="6"/>
      <c r="BO638" s="6"/>
    </row>
    <row r="639" spans="1:67" ht="13.4" customHeight="1">
      <c r="A639" s="6"/>
      <c r="B639" s="6"/>
      <c r="C639" s="6"/>
      <c r="D639" s="6"/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9"/>
      <c r="BJ639" s="19">
        <f t="shared" si="152"/>
        <v>0</v>
      </c>
      <c r="BK639" s="6"/>
      <c r="BL639" s="6"/>
      <c r="BM639" s="6"/>
      <c r="BN639" s="6"/>
      <c r="BO639" s="6"/>
    </row>
    <row r="640" spans="1:67" ht="13.4" customHeight="1">
      <c r="A640" s="6"/>
      <c r="B640" s="6"/>
      <c r="C640" s="6"/>
      <c r="D640" s="6"/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9"/>
      <c r="BJ640" s="19">
        <f t="shared" si="152"/>
        <v>0</v>
      </c>
      <c r="BK640" s="6"/>
      <c r="BL640" s="6"/>
      <c r="BM640" s="6"/>
      <c r="BN640" s="6"/>
      <c r="BO640" s="6"/>
    </row>
    <row r="641" spans="1:67" ht="13.4" customHeight="1">
      <c r="A641" s="6"/>
      <c r="B641" s="6"/>
      <c r="C641" s="6"/>
      <c r="D641" s="6"/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9"/>
      <c r="BJ641" s="19">
        <f t="shared" si="152"/>
        <v>0</v>
      </c>
      <c r="BK641" s="6"/>
      <c r="BL641" s="6"/>
      <c r="BM641" s="6"/>
      <c r="BN641" s="6"/>
      <c r="BO641" s="6"/>
    </row>
    <row r="642" spans="1:67" ht="13.4" customHeight="1">
      <c r="A642" s="6"/>
      <c r="B642" s="6"/>
      <c r="C642" s="6"/>
      <c r="D642" s="6"/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9"/>
      <c r="BJ642" s="19">
        <f t="shared" si="152"/>
        <v>0</v>
      </c>
      <c r="BK642" s="6"/>
      <c r="BL642" s="6"/>
      <c r="BM642" s="6"/>
      <c r="BN642" s="6"/>
      <c r="BO642" s="6"/>
    </row>
    <row r="643" spans="1:67" ht="13.4" customHeight="1">
      <c r="A643" s="6"/>
      <c r="B643" s="6"/>
      <c r="C643" s="6"/>
      <c r="D643" s="6"/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9"/>
      <c r="BJ643" s="19">
        <f t="shared" ref="BJ643:BJ706" si="153">A643</f>
        <v>0</v>
      </c>
      <c r="BK643" s="6"/>
      <c r="BL643" s="6"/>
      <c r="BM643" s="6"/>
      <c r="BN643" s="6"/>
      <c r="BO643" s="6"/>
    </row>
    <row r="644" spans="1:67" ht="13.4" customHeight="1">
      <c r="A644" s="6"/>
      <c r="B644" s="6"/>
      <c r="C644" s="6"/>
      <c r="D644" s="6"/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9"/>
      <c r="BJ644" s="19">
        <f t="shared" si="153"/>
        <v>0</v>
      </c>
      <c r="BK644" s="6"/>
      <c r="BL644" s="6"/>
      <c r="BM644" s="6"/>
      <c r="BN644" s="6"/>
      <c r="BO644" s="6"/>
    </row>
    <row r="645" spans="1:67" ht="13.4" customHeight="1">
      <c r="A645" s="6"/>
      <c r="B645" s="6"/>
      <c r="C645" s="6"/>
      <c r="D645" s="6"/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9"/>
      <c r="BJ645" s="19">
        <f t="shared" si="153"/>
        <v>0</v>
      </c>
      <c r="BK645" s="6"/>
      <c r="BL645" s="6"/>
      <c r="BM645" s="6"/>
      <c r="BN645" s="6"/>
      <c r="BO645" s="6"/>
    </row>
    <row r="646" spans="1:67" ht="13.4" customHeight="1">
      <c r="A646" s="6"/>
      <c r="B646" s="6"/>
      <c r="C646" s="6"/>
      <c r="D646" s="6"/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9"/>
      <c r="BJ646" s="19">
        <f t="shared" si="153"/>
        <v>0</v>
      </c>
      <c r="BK646" s="6"/>
      <c r="BL646" s="6"/>
      <c r="BM646" s="6"/>
      <c r="BN646" s="6"/>
      <c r="BO646" s="6"/>
    </row>
    <row r="647" spans="1:67" ht="13.4" customHeight="1">
      <c r="A647" s="6"/>
      <c r="B647" s="6"/>
      <c r="C647" s="6"/>
      <c r="D647" s="6"/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9"/>
      <c r="BJ647" s="19">
        <f t="shared" si="153"/>
        <v>0</v>
      </c>
      <c r="BK647" s="6"/>
      <c r="BL647" s="6"/>
      <c r="BM647" s="6"/>
      <c r="BN647" s="6"/>
      <c r="BO647" s="6"/>
    </row>
    <row r="648" spans="1:67" ht="13.4" customHeight="1">
      <c r="A648" s="6"/>
      <c r="B648" s="6"/>
      <c r="C648" s="6"/>
      <c r="D648" s="6"/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9"/>
      <c r="BJ648" s="19">
        <f t="shared" si="153"/>
        <v>0</v>
      </c>
      <c r="BK648" s="6"/>
      <c r="BL648" s="6"/>
      <c r="BM648" s="6"/>
      <c r="BN648" s="6"/>
      <c r="BO648" s="6"/>
    </row>
    <row r="649" spans="1:67" ht="13.4" customHeight="1">
      <c r="A649" s="6"/>
      <c r="B649" s="6"/>
      <c r="C649" s="6"/>
      <c r="D649" s="6"/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9"/>
      <c r="BJ649" s="19">
        <f t="shared" si="153"/>
        <v>0</v>
      </c>
      <c r="BK649" s="6"/>
      <c r="BL649" s="6"/>
      <c r="BM649" s="6"/>
      <c r="BN649" s="6"/>
      <c r="BO649" s="6"/>
    </row>
    <row r="650" spans="1:67" ht="13.4" customHeight="1">
      <c r="A650" s="6"/>
      <c r="B650" s="6"/>
      <c r="C650" s="6"/>
      <c r="D650" s="6"/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9"/>
      <c r="BJ650" s="19">
        <f t="shared" si="153"/>
        <v>0</v>
      </c>
      <c r="BK650" s="6"/>
      <c r="BL650" s="6"/>
      <c r="BM650" s="6"/>
      <c r="BN650" s="6"/>
      <c r="BO650" s="6"/>
    </row>
    <row r="651" spans="1:67" ht="13.4" customHeight="1">
      <c r="A651" s="6"/>
      <c r="B651" s="6"/>
      <c r="C651" s="6"/>
      <c r="D651" s="6"/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9"/>
      <c r="BJ651" s="19">
        <f t="shared" si="153"/>
        <v>0</v>
      </c>
      <c r="BK651" s="6"/>
      <c r="BL651" s="6"/>
      <c r="BM651" s="6"/>
      <c r="BN651" s="6"/>
      <c r="BO651" s="6"/>
    </row>
    <row r="652" spans="1:67" ht="13.4" customHeight="1">
      <c r="A652" s="6"/>
      <c r="B652" s="6"/>
      <c r="C652" s="6"/>
      <c r="D652" s="6"/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9"/>
      <c r="BJ652" s="19">
        <f t="shared" si="153"/>
        <v>0</v>
      </c>
      <c r="BK652" s="6"/>
      <c r="BL652" s="6"/>
      <c r="BM652" s="6"/>
      <c r="BN652" s="6"/>
      <c r="BO652" s="6"/>
    </row>
    <row r="653" spans="1:67" ht="13.4" customHeight="1">
      <c r="A653" s="6"/>
      <c r="B653" s="6"/>
      <c r="C653" s="6"/>
      <c r="D653" s="6"/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9"/>
      <c r="BJ653" s="19">
        <f t="shared" si="153"/>
        <v>0</v>
      </c>
      <c r="BK653" s="6"/>
      <c r="BL653" s="6"/>
      <c r="BM653" s="6"/>
      <c r="BN653" s="6"/>
      <c r="BO653" s="6"/>
    </row>
    <row r="654" spans="1:67" ht="13.4" customHeight="1">
      <c r="A654" s="6"/>
      <c r="B654" s="6"/>
      <c r="C654" s="6"/>
      <c r="D654" s="6"/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9"/>
      <c r="BJ654" s="19">
        <f t="shared" si="153"/>
        <v>0</v>
      </c>
      <c r="BK654" s="6"/>
      <c r="BL654" s="6"/>
      <c r="BM654" s="6"/>
      <c r="BN654" s="6"/>
      <c r="BO654" s="6"/>
    </row>
    <row r="655" spans="1:67" ht="13.4" customHeight="1">
      <c r="A655" s="6"/>
      <c r="B655" s="6"/>
      <c r="C655" s="6"/>
      <c r="D655" s="6"/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9"/>
      <c r="BJ655" s="19">
        <f t="shared" si="153"/>
        <v>0</v>
      </c>
      <c r="BK655" s="6"/>
      <c r="BL655" s="6"/>
      <c r="BM655" s="6"/>
      <c r="BN655" s="6"/>
      <c r="BO655" s="6"/>
    </row>
    <row r="656" spans="1:67" ht="13.4" customHeight="1">
      <c r="A656" s="6"/>
      <c r="B656" s="6"/>
      <c r="C656" s="6"/>
      <c r="D656" s="6"/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9"/>
      <c r="BJ656" s="19">
        <f t="shared" si="153"/>
        <v>0</v>
      </c>
      <c r="BK656" s="6"/>
      <c r="BL656" s="6"/>
      <c r="BM656" s="6"/>
      <c r="BN656" s="6"/>
      <c r="BO656" s="6"/>
    </row>
    <row r="657" spans="1:67" ht="13.4" customHeight="1">
      <c r="A657" s="6"/>
      <c r="B657" s="6"/>
      <c r="C657" s="6"/>
      <c r="D657" s="6"/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9"/>
      <c r="BJ657" s="19">
        <f t="shared" si="153"/>
        <v>0</v>
      </c>
      <c r="BK657" s="6"/>
      <c r="BL657" s="6"/>
      <c r="BM657" s="6"/>
      <c r="BN657" s="6"/>
      <c r="BO657" s="6"/>
    </row>
    <row r="658" spans="1:67" ht="13.4" customHeight="1">
      <c r="A658" s="6"/>
      <c r="B658" s="6"/>
      <c r="C658" s="6"/>
      <c r="D658" s="6"/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9"/>
      <c r="BJ658" s="19">
        <f t="shared" si="153"/>
        <v>0</v>
      </c>
      <c r="BK658" s="6"/>
      <c r="BL658" s="6"/>
      <c r="BM658" s="6"/>
      <c r="BN658" s="6"/>
      <c r="BO658" s="6"/>
    </row>
    <row r="659" spans="1:67" ht="13.4" customHeight="1">
      <c r="A659" s="6"/>
      <c r="B659" s="6"/>
      <c r="C659" s="6"/>
      <c r="D659" s="6"/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9"/>
      <c r="BJ659" s="19">
        <f t="shared" si="153"/>
        <v>0</v>
      </c>
      <c r="BK659" s="6"/>
      <c r="BL659" s="6"/>
      <c r="BM659" s="6"/>
      <c r="BN659" s="6"/>
      <c r="BO659" s="6"/>
    </row>
    <row r="660" spans="1:67" ht="13.4" customHeight="1">
      <c r="A660" s="6"/>
      <c r="B660" s="6"/>
      <c r="C660" s="6"/>
      <c r="D660" s="6"/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9"/>
      <c r="BJ660" s="19">
        <f t="shared" si="153"/>
        <v>0</v>
      </c>
      <c r="BK660" s="6"/>
      <c r="BL660" s="6"/>
      <c r="BM660" s="6"/>
      <c r="BN660" s="6"/>
      <c r="BO660" s="6"/>
    </row>
    <row r="661" spans="1:67" ht="13.4" customHeight="1">
      <c r="A661" s="6"/>
      <c r="B661" s="6"/>
      <c r="C661" s="6"/>
      <c r="D661" s="6"/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9"/>
      <c r="BJ661" s="19">
        <f t="shared" si="153"/>
        <v>0</v>
      </c>
      <c r="BK661" s="6"/>
      <c r="BL661" s="6"/>
      <c r="BM661" s="6"/>
      <c r="BN661" s="6"/>
      <c r="BO661" s="6"/>
    </row>
    <row r="662" spans="1:67" ht="13.4" customHeight="1">
      <c r="A662" s="6"/>
      <c r="B662" s="6"/>
      <c r="C662" s="6"/>
      <c r="D662" s="6"/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9"/>
      <c r="BJ662" s="19">
        <f t="shared" si="153"/>
        <v>0</v>
      </c>
      <c r="BK662" s="6"/>
      <c r="BL662" s="6"/>
      <c r="BM662" s="6"/>
      <c r="BN662" s="6"/>
      <c r="BO662" s="6"/>
    </row>
    <row r="663" spans="1:67" ht="13.4" customHeight="1">
      <c r="A663" s="6"/>
      <c r="B663" s="6"/>
      <c r="C663" s="6"/>
      <c r="D663" s="6"/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9"/>
      <c r="BJ663" s="19">
        <f t="shared" si="153"/>
        <v>0</v>
      </c>
      <c r="BK663" s="6"/>
      <c r="BL663" s="6"/>
      <c r="BM663" s="6"/>
      <c r="BN663" s="6"/>
      <c r="BO663" s="6"/>
    </row>
    <row r="664" spans="1:67" ht="13.4" customHeight="1">
      <c r="A664" s="6"/>
      <c r="B664" s="6"/>
      <c r="C664" s="6"/>
      <c r="D664" s="6"/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9"/>
      <c r="BJ664" s="19">
        <f t="shared" si="153"/>
        <v>0</v>
      </c>
      <c r="BK664" s="6"/>
      <c r="BL664" s="6"/>
      <c r="BM664" s="6"/>
      <c r="BN664" s="6"/>
      <c r="BO664" s="6"/>
    </row>
    <row r="665" spans="1:67" ht="13.4" customHeight="1">
      <c r="A665" s="6"/>
      <c r="B665" s="6"/>
      <c r="C665" s="6"/>
      <c r="D665" s="6"/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9"/>
      <c r="BJ665" s="19">
        <f t="shared" si="153"/>
        <v>0</v>
      </c>
      <c r="BK665" s="6"/>
      <c r="BL665" s="6"/>
      <c r="BM665" s="6"/>
      <c r="BN665" s="6"/>
      <c r="BO665" s="6"/>
    </row>
    <row r="666" spans="1:67" ht="13.4" customHeight="1">
      <c r="A666" s="6"/>
      <c r="B666" s="6"/>
      <c r="C666" s="6"/>
      <c r="D666" s="6"/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9"/>
      <c r="BJ666" s="19">
        <f t="shared" si="153"/>
        <v>0</v>
      </c>
      <c r="BK666" s="6"/>
      <c r="BL666" s="6"/>
      <c r="BM666" s="6"/>
      <c r="BN666" s="6"/>
      <c r="BO666" s="6"/>
    </row>
    <row r="667" spans="1:67" ht="13.4" customHeight="1">
      <c r="A667" s="6"/>
      <c r="B667" s="6"/>
      <c r="C667" s="6"/>
      <c r="D667" s="6"/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9"/>
      <c r="BJ667" s="19">
        <f t="shared" si="153"/>
        <v>0</v>
      </c>
      <c r="BK667" s="6"/>
      <c r="BL667" s="6"/>
      <c r="BM667" s="6"/>
      <c r="BN667" s="6"/>
      <c r="BO667" s="6"/>
    </row>
    <row r="668" spans="1:67" ht="13.4" customHeight="1">
      <c r="A668" s="6"/>
      <c r="B668" s="6"/>
      <c r="C668" s="6"/>
      <c r="D668" s="6"/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9"/>
      <c r="BJ668" s="19">
        <f t="shared" si="153"/>
        <v>0</v>
      </c>
      <c r="BK668" s="6"/>
      <c r="BL668" s="6"/>
      <c r="BM668" s="6"/>
      <c r="BN668" s="6"/>
      <c r="BO668" s="6"/>
    </row>
    <row r="669" spans="1:67" ht="13.4" customHeight="1">
      <c r="A669" s="6"/>
      <c r="B669" s="6"/>
      <c r="C669" s="6"/>
      <c r="D669" s="6"/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9"/>
      <c r="BJ669" s="19">
        <f t="shared" si="153"/>
        <v>0</v>
      </c>
      <c r="BK669" s="6"/>
      <c r="BL669" s="6"/>
      <c r="BM669" s="6"/>
      <c r="BN669" s="6"/>
      <c r="BO669" s="6"/>
    </row>
    <row r="670" spans="1:67" ht="13.4" customHeight="1">
      <c r="A670" s="6"/>
      <c r="B670" s="6"/>
      <c r="C670" s="6"/>
      <c r="D670" s="6"/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9"/>
      <c r="BJ670" s="19">
        <f t="shared" si="153"/>
        <v>0</v>
      </c>
      <c r="BK670" s="6"/>
      <c r="BL670" s="6"/>
      <c r="BM670" s="6"/>
      <c r="BN670" s="6"/>
      <c r="BO670" s="6"/>
    </row>
    <row r="671" spans="1:67" ht="13.4" customHeight="1">
      <c r="A671" s="6"/>
      <c r="B671" s="6"/>
      <c r="C671" s="6"/>
      <c r="D671" s="6"/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9"/>
      <c r="BJ671" s="19">
        <f t="shared" si="153"/>
        <v>0</v>
      </c>
      <c r="BK671" s="6"/>
      <c r="BL671" s="6"/>
      <c r="BM671" s="6"/>
      <c r="BN671" s="6"/>
      <c r="BO671" s="6"/>
    </row>
    <row r="672" spans="1:67" ht="13.4" customHeight="1">
      <c r="A672" s="6"/>
      <c r="B672" s="6"/>
      <c r="C672" s="6"/>
      <c r="D672" s="6"/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9"/>
      <c r="BJ672" s="19">
        <f t="shared" si="153"/>
        <v>0</v>
      </c>
      <c r="BK672" s="6"/>
      <c r="BL672" s="6"/>
      <c r="BM672" s="6"/>
      <c r="BN672" s="6"/>
      <c r="BO672" s="6"/>
    </row>
    <row r="673" spans="1:67" ht="13.4" customHeight="1">
      <c r="A673" s="6"/>
      <c r="B673" s="6"/>
      <c r="C673" s="6"/>
      <c r="D673" s="6"/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9"/>
      <c r="BJ673" s="19">
        <f t="shared" si="153"/>
        <v>0</v>
      </c>
      <c r="BK673" s="6"/>
      <c r="BL673" s="6"/>
      <c r="BM673" s="6"/>
      <c r="BN673" s="6"/>
      <c r="BO673" s="6"/>
    </row>
    <row r="674" spans="1:67" ht="13.4" customHeight="1">
      <c r="A674" s="6"/>
      <c r="B674" s="6"/>
      <c r="C674" s="6"/>
      <c r="D674" s="6"/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9"/>
      <c r="BJ674" s="19">
        <f t="shared" si="153"/>
        <v>0</v>
      </c>
      <c r="BK674" s="6"/>
      <c r="BL674" s="6"/>
      <c r="BM674" s="6"/>
      <c r="BN674" s="6"/>
      <c r="BO674" s="6"/>
    </row>
    <row r="675" spans="1:67" ht="13.4" customHeight="1">
      <c r="A675" s="6"/>
      <c r="B675" s="6"/>
      <c r="C675" s="6"/>
      <c r="D675" s="6"/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9"/>
      <c r="BJ675" s="19">
        <f t="shared" si="153"/>
        <v>0</v>
      </c>
      <c r="BK675" s="6"/>
      <c r="BL675" s="6"/>
      <c r="BM675" s="6"/>
      <c r="BN675" s="6"/>
      <c r="BO675" s="6"/>
    </row>
    <row r="676" spans="1:67" ht="13.4" customHeight="1">
      <c r="A676" s="6"/>
      <c r="B676" s="6"/>
      <c r="C676" s="6"/>
      <c r="D676" s="6"/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9"/>
      <c r="BJ676" s="19">
        <f t="shared" si="153"/>
        <v>0</v>
      </c>
      <c r="BK676" s="6"/>
      <c r="BL676" s="6"/>
      <c r="BM676" s="6"/>
      <c r="BN676" s="6"/>
      <c r="BO676" s="6"/>
    </row>
    <row r="677" spans="1:67" ht="13.4" customHeight="1">
      <c r="A677" s="6"/>
      <c r="B677" s="6"/>
      <c r="C677" s="6"/>
      <c r="D677" s="6"/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9"/>
      <c r="BJ677" s="19">
        <f t="shared" si="153"/>
        <v>0</v>
      </c>
      <c r="BK677" s="6"/>
      <c r="BL677" s="6"/>
      <c r="BM677" s="6"/>
      <c r="BN677" s="6"/>
      <c r="BO677" s="6"/>
    </row>
    <row r="678" spans="1:67" ht="13.4" customHeight="1">
      <c r="A678" s="6"/>
      <c r="B678" s="6"/>
      <c r="C678" s="6"/>
      <c r="D678" s="6"/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9"/>
      <c r="BJ678" s="19">
        <f t="shared" si="153"/>
        <v>0</v>
      </c>
      <c r="BK678" s="6"/>
      <c r="BL678" s="6"/>
      <c r="BM678" s="6"/>
      <c r="BN678" s="6"/>
      <c r="BO678" s="6"/>
    </row>
    <row r="679" spans="1:67" ht="13.4" customHeight="1">
      <c r="A679" s="6"/>
      <c r="B679" s="6"/>
      <c r="C679" s="6"/>
      <c r="D679" s="6"/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9"/>
      <c r="BJ679" s="19">
        <f t="shared" si="153"/>
        <v>0</v>
      </c>
      <c r="BK679" s="6"/>
      <c r="BL679" s="6"/>
      <c r="BM679" s="6"/>
      <c r="BN679" s="6"/>
      <c r="BO679" s="6"/>
    </row>
    <row r="680" spans="1:67" ht="13.4" customHeight="1">
      <c r="A680" s="6"/>
      <c r="B680" s="6"/>
      <c r="C680" s="6"/>
      <c r="D680" s="6"/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9"/>
      <c r="BJ680" s="19">
        <f t="shared" si="153"/>
        <v>0</v>
      </c>
      <c r="BK680" s="6"/>
      <c r="BL680" s="6"/>
      <c r="BM680" s="6"/>
      <c r="BN680" s="6"/>
      <c r="BO680" s="6"/>
    </row>
    <row r="681" spans="1:67" ht="13.4" customHeight="1">
      <c r="A681" s="6"/>
      <c r="B681" s="6"/>
      <c r="C681" s="6"/>
      <c r="D681" s="6"/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9"/>
      <c r="BJ681" s="19">
        <f t="shared" si="153"/>
        <v>0</v>
      </c>
      <c r="BK681" s="6"/>
      <c r="BL681" s="6"/>
      <c r="BM681" s="6"/>
      <c r="BN681" s="6"/>
      <c r="BO681" s="6"/>
    </row>
    <row r="682" spans="1:67" ht="13.4" customHeight="1">
      <c r="A682" s="6"/>
      <c r="B682" s="6"/>
      <c r="C682" s="6"/>
      <c r="D682" s="6"/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9"/>
      <c r="BJ682" s="19">
        <f t="shared" si="153"/>
        <v>0</v>
      </c>
      <c r="BK682" s="6"/>
      <c r="BL682" s="6"/>
      <c r="BM682" s="6"/>
      <c r="BN682" s="6"/>
      <c r="BO682" s="6"/>
    </row>
    <row r="683" spans="1:67" ht="13.4" customHeight="1">
      <c r="A683" s="6"/>
      <c r="B683" s="6"/>
      <c r="C683" s="6"/>
      <c r="D683" s="6"/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9"/>
      <c r="BJ683" s="19">
        <f t="shared" si="153"/>
        <v>0</v>
      </c>
      <c r="BK683" s="6"/>
      <c r="BL683" s="6"/>
      <c r="BM683" s="6"/>
      <c r="BN683" s="6"/>
      <c r="BO683" s="6"/>
    </row>
    <row r="684" spans="1:67" ht="13.4" customHeight="1">
      <c r="A684" s="6"/>
      <c r="B684" s="6"/>
      <c r="C684" s="6"/>
      <c r="D684" s="6"/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9"/>
      <c r="BJ684" s="19">
        <f t="shared" si="153"/>
        <v>0</v>
      </c>
      <c r="BK684" s="6"/>
      <c r="BL684" s="6"/>
      <c r="BM684" s="6"/>
      <c r="BN684" s="6"/>
      <c r="BO684" s="6"/>
    </row>
    <row r="685" spans="1:67" ht="13.4" customHeight="1">
      <c r="A685" s="6"/>
      <c r="B685" s="6"/>
      <c r="C685" s="6"/>
      <c r="D685" s="6"/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9"/>
      <c r="BJ685" s="19">
        <f t="shared" si="153"/>
        <v>0</v>
      </c>
      <c r="BK685" s="6"/>
      <c r="BL685" s="6"/>
      <c r="BM685" s="6"/>
      <c r="BN685" s="6"/>
      <c r="BO685" s="6"/>
    </row>
    <row r="686" spans="1:67" ht="13.4" customHeight="1">
      <c r="A686" s="6"/>
      <c r="B686" s="6"/>
      <c r="C686" s="6"/>
      <c r="D686" s="6"/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9"/>
      <c r="BJ686" s="19">
        <f t="shared" si="153"/>
        <v>0</v>
      </c>
      <c r="BK686" s="6"/>
      <c r="BL686" s="6"/>
      <c r="BM686" s="6"/>
      <c r="BN686" s="6"/>
      <c r="BO686" s="6"/>
    </row>
    <row r="687" spans="1:67" ht="13.4" customHeight="1">
      <c r="A687" s="6"/>
      <c r="B687" s="6"/>
      <c r="C687" s="6"/>
      <c r="D687" s="6"/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9"/>
      <c r="BJ687" s="19">
        <f t="shared" si="153"/>
        <v>0</v>
      </c>
      <c r="BK687" s="6"/>
      <c r="BL687" s="6"/>
      <c r="BM687" s="6"/>
      <c r="BN687" s="6"/>
      <c r="BO687" s="6"/>
    </row>
    <row r="688" spans="1:67" ht="13.4" customHeight="1">
      <c r="A688" s="6"/>
      <c r="B688" s="6"/>
      <c r="C688" s="6"/>
      <c r="D688" s="6"/>
      <c r="E688" s="6"/>
      <c r="F688" s="6"/>
      <c r="G688" s="6"/>
      <c r="H688" s="4"/>
      <c r="I688" s="4"/>
      <c r="J688" s="4"/>
      <c r="K688" s="4"/>
      <c r="L688" s="4"/>
      <c r="M688" s="4"/>
      <c r="N688" s="4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9"/>
      <c r="BJ688" s="19">
        <f t="shared" si="153"/>
        <v>0</v>
      </c>
      <c r="BK688" s="6"/>
      <c r="BL688" s="6"/>
      <c r="BM688" s="6"/>
      <c r="BN688" s="6"/>
      <c r="BO688" s="6"/>
    </row>
    <row r="689" spans="1:67" ht="13.4" customHeight="1">
      <c r="A689" s="6"/>
      <c r="B689" s="6"/>
      <c r="C689" s="6"/>
      <c r="D689" s="6"/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9"/>
      <c r="BJ689" s="19">
        <f t="shared" si="153"/>
        <v>0</v>
      </c>
      <c r="BK689" s="6"/>
      <c r="BL689" s="6"/>
      <c r="BM689" s="6"/>
      <c r="BN689" s="6"/>
      <c r="BO689" s="6"/>
    </row>
    <row r="690" spans="1:67" ht="13.4" customHeight="1">
      <c r="A690" s="6"/>
      <c r="B690" s="6"/>
      <c r="C690" s="6"/>
      <c r="D690" s="6"/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9"/>
      <c r="BJ690" s="19">
        <f t="shared" si="153"/>
        <v>0</v>
      </c>
      <c r="BK690" s="6"/>
      <c r="BL690" s="6"/>
      <c r="BM690" s="6"/>
      <c r="BN690" s="6"/>
      <c r="BO690" s="6"/>
    </row>
    <row r="691" spans="1:67" ht="13.4" customHeight="1">
      <c r="A691" s="6"/>
      <c r="B691" s="6"/>
      <c r="C691" s="6"/>
      <c r="D691" s="6"/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9"/>
      <c r="BJ691" s="19">
        <f t="shared" si="153"/>
        <v>0</v>
      </c>
      <c r="BK691" s="6"/>
      <c r="BL691" s="6"/>
      <c r="BM691" s="6"/>
      <c r="BN691" s="6"/>
      <c r="BO691" s="6"/>
    </row>
    <row r="692" spans="1:67" ht="13.4" customHeight="1">
      <c r="A692" s="6"/>
      <c r="B692" s="6"/>
      <c r="C692" s="6"/>
      <c r="D692" s="6"/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9"/>
      <c r="BJ692" s="19">
        <f t="shared" si="153"/>
        <v>0</v>
      </c>
      <c r="BK692" s="6"/>
      <c r="BL692" s="6"/>
      <c r="BM692" s="6"/>
      <c r="BN692" s="6"/>
      <c r="BO692" s="6"/>
    </row>
    <row r="693" spans="1:67" ht="13.4" customHeight="1">
      <c r="A693" s="6"/>
      <c r="B693" s="6"/>
      <c r="C693" s="6"/>
      <c r="D693" s="6"/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9"/>
      <c r="BJ693" s="19">
        <f t="shared" si="153"/>
        <v>0</v>
      </c>
      <c r="BK693" s="6"/>
      <c r="BL693" s="6"/>
      <c r="BM693" s="6"/>
      <c r="BN693" s="6"/>
      <c r="BO693" s="6"/>
    </row>
    <row r="694" spans="1:67" ht="13.4" customHeight="1">
      <c r="A694" s="6"/>
      <c r="B694" s="6"/>
      <c r="C694" s="6"/>
      <c r="D694" s="6"/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9"/>
      <c r="BJ694" s="19">
        <f t="shared" si="153"/>
        <v>0</v>
      </c>
      <c r="BK694" s="6"/>
      <c r="BL694" s="6"/>
      <c r="BM694" s="6"/>
      <c r="BN694" s="6"/>
      <c r="BO694" s="6"/>
    </row>
    <row r="695" spans="1:67" ht="13.4" customHeight="1">
      <c r="A695" s="6"/>
      <c r="B695" s="6"/>
      <c r="C695" s="6"/>
      <c r="D695" s="6"/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9"/>
      <c r="BJ695" s="19">
        <f t="shared" si="153"/>
        <v>0</v>
      </c>
      <c r="BK695" s="6"/>
      <c r="BL695" s="6"/>
      <c r="BM695" s="6"/>
      <c r="BN695" s="6"/>
      <c r="BO695" s="6"/>
    </row>
    <row r="696" spans="1:67" ht="13.4" customHeight="1">
      <c r="A696" s="6"/>
      <c r="B696" s="6"/>
      <c r="C696" s="6"/>
      <c r="D696" s="6"/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9"/>
      <c r="BJ696" s="19">
        <f t="shared" si="153"/>
        <v>0</v>
      </c>
      <c r="BK696" s="6"/>
      <c r="BL696" s="6"/>
      <c r="BM696" s="6"/>
      <c r="BN696" s="6"/>
      <c r="BO696" s="6"/>
    </row>
    <row r="697" spans="1:67" ht="13.4" customHeight="1">
      <c r="A697" s="6"/>
      <c r="B697" s="6"/>
      <c r="C697" s="6"/>
      <c r="D697" s="6"/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9"/>
      <c r="BJ697" s="19">
        <f t="shared" si="153"/>
        <v>0</v>
      </c>
      <c r="BK697" s="6"/>
      <c r="BL697" s="6"/>
      <c r="BM697" s="6"/>
      <c r="BN697" s="6"/>
      <c r="BO697" s="6"/>
    </row>
    <row r="698" spans="1:67" ht="13.4" customHeight="1">
      <c r="A698" s="6"/>
      <c r="B698" s="6"/>
      <c r="C698" s="6"/>
      <c r="D698" s="6"/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9"/>
      <c r="BJ698" s="19">
        <f t="shared" si="153"/>
        <v>0</v>
      </c>
      <c r="BK698" s="6"/>
      <c r="BL698" s="6"/>
      <c r="BM698" s="6"/>
      <c r="BN698" s="6"/>
      <c r="BO698" s="6"/>
    </row>
    <row r="699" spans="1:67" ht="13.4" customHeight="1">
      <c r="A699" s="6"/>
      <c r="B699" s="6"/>
      <c r="C699" s="6"/>
      <c r="D699" s="6"/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9"/>
      <c r="BJ699" s="19">
        <f t="shared" si="153"/>
        <v>0</v>
      </c>
      <c r="BK699" s="6"/>
      <c r="BL699" s="6"/>
      <c r="BM699" s="6"/>
      <c r="BN699" s="6"/>
      <c r="BO699" s="6"/>
    </row>
    <row r="700" spans="1:67" ht="13.4" customHeight="1">
      <c r="A700" s="6"/>
      <c r="B700" s="6"/>
      <c r="C700" s="6"/>
      <c r="D700" s="6"/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9"/>
      <c r="BJ700" s="19">
        <f t="shared" si="153"/>
        <v>0</v>
      </c>
      <c r="BK700" s="6"/>
      <c r="BL700" s="6"/>
      <c r="BM700" s="6"/>
      <c r="BN700" s="6"/>
      <c r="BO700" s="6"/>
    </row>
    <row r="701" spans="1:67" ht="13.4" customHeight="1">
      <c r="A701" s="6"/>
      <c r="B701" s="6"/>
      <c r="C701" s="6"/>
      <c r="D701" s="6"/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9"/>
      <c r="BJ701" s="19">
        <f t="shared" si="153"/>
        <v>0</v>
      </c>
      <c r="BK701" s="6"/>
      <c r="BL701" s="6"/>
      <c r="BM701" s="6"/>
      <c r="BN701" s="6"/>
      <c r="BO701" s="6"/>
    </row>
    <row r="702" spans="1:67" ht="13.4" customHeight="1">
      <c r="A702" s="6"/>
      <c r="B702" s="6"/>
      <c r="C702" s="6"/>
      <c r="D702" s="6"/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9"/>
      <c r="BJ702" s="19">
        <f t="shared" si="153"/>
        <v>0</v>
      </c>
      <c r="BK702" s="6"/>
      <c r="BL702" s="6"/>
      <c r="BM702" s="6"/>
      <c r="BN702" s="6"/>
      <c r="BO702" s="6"/>
    </row>
    <row r="703" spans="1:67" ht="13.4" customHeight="1">
      <c r="A703" s="6"/>
      <c r="B703" s="6"/>
      <c r="C703" s="6"/>
      <c r="D703" s="6"/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9"/>
      <c r="BJ703" s="19">
        <f t="shared" si="153"/>
        <v>0</v>
      </c>
      <c r="BK703" s="6"/>
      <c r="BL703" s="6"/>
      <c r="BM703" s="6"/>
      <c r="BN703" s="6"/>
      <c r="BO703" s="6"/>
    </row>
    <row r="704" spans="1:67" ht="13.4" customHeight="1">
      <c r="A704" s="6"/>
      <c r="B704" s="6"/>
      <c r="C704" s="6"/>
      <c r="D704" s="6"/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9"/>
      <c r="BJ704" s="19">
        <f t="shared" si="153"/>
        <v>0</v>
      </c>
      <c r="BK704" s="6"/>
      <c r="BL704" s="6"/>
      <c r="BM704" s="6"/>
      <c r="BN704" s="6"/>
      <c r="BO704" s="6"/>
    </row>
    <row r="705" spans="1:67" ht="13.4" customHeight="1">
      <c r="A705" s="6"/>
      <c r="B705" s="6"/>
      <c r="C705" s="6"/>
      <c r="D705" s="6"/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9"/>
      <c r="BJ705" s="19">
        <f t="shared" si="153"/>
        <v>0</v>
      </c>
      <c r="BK705" s="6"/>
      <c r="BL705" s="6"/>
      <c r="BM705" s="6"/>
      <c r="BN705" s="6"/>
      <c r="BO705" s="6"/>
    </row>
    <row r="706" spans="1:67" ht="13.4" customHeight="1">
      <c r="A706" s="6"/>
      <c r="B706" s="6"/>
      <c r="C706" s="6"/>
      <c r="D706" s="6"/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9"/>
      <c r="BJ706" s="19">
        <f t="shared" si="153"/>
        <v>0</v>
      </c>
      <c r="BK706" s="6"/>
      <c r="BL706" s="6"/>
      <c r="BM706" s="6"/>
      <c r="BN706" s="6"/>
      <c r="BO706" s="6"/>
    </row>
    <row r="707" spans="1:67" ht="13.4" customHeight="1">
      <c r="A707" s="6"/>
      <c r="B707" s="6"/>
      <c r="C707" s="6"/>
      <c r="D707" s="6"/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9"/>
      <c r="BJ707" s="19">
        <f t="shared" ref="BJ707:BJ770" si="154">A707</f>
        <v>0</v>
      </c>
      <c r="BK707" s="6"/>
      <c r="BL707" s="6"/>
      <c r="BM707" s="6"/>
      <c r="BN707" s="6"/>
      <c r="BO707" s="6"/>
    </row>
    <row r="708" spans="1:67" ht="13.4" customHeight="1">
      <c r="A708" s="6"/>
      <c r="B708" s="6"/>
      <c r="C708" s="6"/>
      <c r="D708" s="6"/>
      <c r="E708" s="6"/>
      <c r="F708" s="6"/>
      <c r="G708" s="6"/>
      <c r="H708" s="4"/>
      <c r="I708" s="4"/>
      <c r="J708" s="4"/>
      <c r="K708" s="4"/>
      <c r="L708" s="4"/>
      <c r="M708" s="4"/>
      <c r="N708" s="4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9"/>
      <c r="BJ708" s="19">
        <f t="shared" si="154"/>
        <v>0</v>
      </c>
      <c r="BK708" s="6"/>
      <c r="BL708" s="6"/>
      <c r="BM708" s="6"/>
      <c r="BN708" s="6"/>
      <c r="BO708" s="6"/>
    </row>
    <row r="709" spans="1:67" ht="13.4" customHeight="1">
      <c r="A709" s="6"/>
      <c r="B709" s="6"/>
      <c r="C709" s="6"/>
      <c r="D709" s="6"/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9"/>
      <c r="BJ709" s="19">
        <f t="shared" si="154"/>
        <v>0</v>
      </c>
      <c r="BK709" s="6"/>
      <c r="BL709" s="6"/>
      <c r="BM709" s="6"/>
      <c r="BN709" s="6"/>
      <c r="BO709" s="6"/>
    </row>
    <row r="710" spans="1:67" ht="13.4" customHeight="1">
      <c r="A710" s="6"/>
      <c r="B710" s="6"/>
      <c r="C710" s="6"/>
      <c r="D710" s="6"/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9"/>
      <c r="BJ710" s="19">
        <f t="shared" si="154"/>
        <v>0</v>
      </c>
      <c r="BK710" s="6"/>
      <c r="BL710" s="6"/>
      <c r="BM710" s="6"/>
      <c r="BN710" s="6"/>
      <c r="BO710" s="6"/>
    </row>
    <row r="711" spans="1:67" ht="13.4" customHeight="1">
      <c r="A711" s="6"/>
      <c r="B711" s="6"/>
      <c r="C711" s="6"/>
      <c r="D711" s="6"/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9"/>
      <c r="BJ711" s="19">
        <f t="shared" si="154"/>
        <v>0</v>
      </c>
      <c r="BK711" s="6"/>
      <c r="BL711" s="6"/>
      <c r="BM711" s="6"/>
      <c r="BN711" s="6"/>
      <c r="BO711" s="6"/>
    </row>
    <row r="712" spans="1:67" ht="13.4" customHeight="1">
      <c r="A712" s="6"/>
      <c r="B712" s="6"/>
      <c r="C712" s="6"/>
      <c r="D712" s="6"/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9"/>
      <c r="BJ712" s="19">
        <f t="shared" si="154"/>
        <v>0</v>
      </c>
      <c r="BK712" s="6"/>
      <c r="BL712" s="6"/>
      <c r="BM712" s="6"/>
      <c r="BN712" s="6"/>
      <c r="BO712" s="6"/>
    </row>
    <row r="713" spans="1:67" ht="13.4" customHeight="1">
      <c r="A713" s="6"/>
      <c r="B713" s="6"/>
      <c r="C713" s="6"/>
      <c r="D713" s="6"/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9"/>
      <c r="BJ713" s="19">
        <f t="shared" si="154"/>
        <v>0</v>
      </c>
      <c r="BK713" s="6"/>
      <c r="BL713" s="6"/>
      <c r="BM713" s="6"/>
      <c r="BN713" s="6"/>
      <c r="BO713" s="6"/>
    </row>
    <row r="714" spans="1:67" ht="13.4" customHeight="1">
      <c r="A714" s="6"/>
      <c r="B714" s="6"/>
      <c r="C714" s="6"/>
      <c r="D714" s="6"/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9"/>
      <c r="BJ714" s="19">
        <f t="shared" si="154"/>
        <v>0</v>
      </c>
      <c r="BK714" s="6"/>
      <c r="BL714" s="6"/>
      <c r="BM714" s="6"/>
      <c r="BN714" s="6"/>
      <c r="BO714" s="6"/>
    </row>
    <row r="715" spans="1:67" ht="13.4" customHeight="1">
      <c r="A715" s="6"/>
      <c r="B715" s="6"/>
      <c r="C715" s="6"/>
      <c r="D715" s="6"/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9"/>
      <c r="BJ715" s="19">
        <f t="shared" si="154"/>
        <v>0</v>
      </c>
      <c r="BK715" s="6"/>
      <c r="BL715" s="6"/>
      <c r="BM715" s="6"/>
      <c r="BN715" s="6"/>
      <c r="BO715" s="6"/>
    </row>
    <row r="716" spans="1:67" ht="13.4" customHeight="1">
      <c r="A716" s="6"/>
      <c r="B716" s="6"/>
      <c r="C716" s="6"/>
      <c r="D716" s="6"/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9"/>
      <c r="BJ716" s="19">
        <f t="shared" si="154"/>
        <v>0</v>
      </c>
      <c r="BK716" s="6"/>
      <c r="BL716" s="6"/>
      <c r="BM716" s="6"/>
      <c r="BN716" s="6"/>
      <c r="BO716" s="6"/>
    </row>
    <row r="717" spans="1:67" ht="13.4" customHeight="1">
      <c r="A717" s="6"/>
      <c r="B717" s="6"/>
      <c r="C717" s="6"/>
      <c r="D717" s="6"/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9"/>
      <c r="BJ717" s="19">
        <f t="shared" si="154"/>
        <v>0</v>
      </c>
      <c r="BK717" s="6"/>
      <c r="BL717" s="6"/>
      <c r="BM717" s="6"/>
      <c r="BN717" s="6"/>
      <c r="BO717" s="6"/>
    </row>
    <row r="718" spans="1:67" ht="13.4" customHeight="1">
      <c r="A718" s="6"/>
      <c r="B718" s="6"/>
      <c r="C718" s="6"/>
      <c r="D718" s="6"/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9"/>
      <c r="BJ718" s="19">
        <f t="shared" si="154"/>
        <v>0</v>
      </c>
      <c r="BK718" s="6"/>
      <c r="BL718" s="6"/>
      <c r="BM718" s="6"/>
      <c r="BN718" s="6"/>
      <c r="BO718" s="6"/>
    </row>
    <row r="719" spans="1:67" ht="13.4" customHeight="1">
      <c r="A719" s="6"/>
      <c r="B719" s="6"/>
      <c r="C719" s="6"/>
      <c r="D719" s="6"/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9"/>
      <c r="BJ719" s="19">
        <f t="shared" si="154"/>
        <v>0</v>
      </c>
      <c r="BK719" s="6"/>
      <c r="BL719" s="6"/>
      <c r="BM719" s="6"/>
      <c r="BN719" s="6"/>
      <c r="BO719" s="6"/>
    </row>
    <row r="720" spans="1:67" ht="13.4" customHeight="1">
      <c r="A720" s="6"/>
      <c r="B720" s="6"/>
      <c r="C720" s="6"/>
      <c r="D720" s="6"/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9"/>
      <c r="BJ720" s="19">
        <f t="shared" si="154"/>
        <v>0</v>
      </c>
      <c r="BK720" s="6"/>
      <c r="BL720" s="6"/>
      <c r="BM720" s="6"/>
      <c r="BN720" s="6"/>
      <c r="BO720" s="6"/>
    </row>
    <row r="721" spans="1:67" ht="13.4" customHeight="1">
      <c r="A721" s="6"/>
      <c r="B721" s="6"/>
      <c r="C721" s="6"/>
      <c r="D721" s="6"/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9"/>
      <c r="BJ721" s="19">
        <f t="shared" si="154"/>
        <v>0</v>
      </c>
      <c r="BK721" s="6"/>
      <c r="BL721" s="6"/>
      <c r="BM721" s="6"/>
      <c r="BN721" s="6"/>
      <c r="BO721" s="6"/>
    </row>
    <row r="722" spans="1:67" ht="13.4" customHeight="1">
      <c r="A722" s="6"/>
      <c r="B722" s="6"/>
      <c r="C722" s="6"/>
      <c r="D722" s="6"/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9"/>
      <c r="BJ722" s="19">
        <f t="shared" si="154"/>
        <v>0</v>
      </c>
      <c r="BK722" s="6"/>
      <c r="BL722" s="6"/>
      <c r="BM722" s="6"/>
      <c r="BN722" s="6"/>
      <c r="BO722" s="6"/>
    </row>
    <row r="723" spans="1:67" ht="13.4" customHeight="1">
      <c r="A723" s="6"/>
      <c r="B723" s="6"/>
      <c r="C723" s="6"/>
      <c r="D723" s="6"/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9"/>
      <c r="BJ723" s="19">
        <f t="shared" si="154"/>
        <v>0</v>
      </c>
      <c r="BK723" s="6"/>
      <c r="BL723" s="6"/>
      <c r="BM723" s="6"/>
      <c r="BN723" s="6"/>
      <c r="BO723" s="6"/>
    </row>
    <row r="724" spans="1:67" ht="13.4" customHeight="1">
      <c r="A724" s="6"/>
      <c r="B724" s="6"/>
      <c r="C724" s="6"/>
      <c r="D724" s="6"/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9"/>
      <c r="BJ724" s="19">
        <f t="shared" si="154"/>
        <v>0</v>
      </c>
      <c r="BK724" s="6"/>
      <c r="BL724" s="6"/>
      <c r="BM724" s="6"/>
      <c r="BN724" s="6"/>
      <c r="BO724" s="6"/>
    </row>
    <row r="725" spans="1:67" ht="13.4" customHeight="1">
      <c r="A725" s="6"/>
      <c r="B725" s="6"/>
      <c r="C725" s="6"/>
      <c r="D725" s="6"/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9"/>
      <c r="BJ725" s="19">
        <f t="shared" si="154"/>
        <v>0</v>
      </c>
      <c r="BK725" s="6"/>
      <c r="BL725" s="6"/>
      <c r="BM725" s="6"/>
      <c r="BN725" s="6"/>
      <c r="BO725" s="6"/>
    </row>
    <row r="726" spans="1:67" ht="13.4" customHeight="1">
      <c r="A726" s="6"/>
      <c r="B726" s="6"/>
      <c r="C726" s="6"/>
      <c r="D726" s="6"/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9"/>
      <c r="BJ726" s="19">
        <f t="shared" si="154"/>
        <v>0</v>
      </c>
      <c r="BK726" s="6"/>
      <c r="BL726" s="6"/>
      <c r="BM726" s="6"/>
      <c r="BN726" s="6"/>
      <c r="BO726" s="6"/>
    </row>
    <row r="727" spans="1:67" ht="13.4" customHeight="1">
      <c r="A727" s="6"/>
      <c r="B727" s="6"/>
      <c r="C727" s="6"/>
      <c r="D727" s="6"/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9"/>
      <c r="BJ727" s="19">
        <f t="shared" si="154"/>
        <v>0</v>
      </c>
      <c r="BK727" s="6"/>
      <c r="BL727" s="6"/>
      <c r="BM727" s="6"/>
      <c r="BN727" s="6"/>
      <c r="BO727" s="6"/>
    </row>
    <row r="728" spans="1:67" ht="13.4" customHeight="1">
      <c r="A728" s="6"/>
      <c r="B728" s="6"/>
      <c r="C728" s="6"/>
      <c r="D728" s="6"/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9"/>
      <c r="BJ728" s="19">
        <f t="shared" si="154"/>
        <v>0</v>
      </c>
      <c r="BK728" s="6"/>
      <c r="BL728" s="6"/>
      <c r="BM728" s="6"/>
      <c r="BN728" s="6"/>
      <c r="BO728" s="6"/>
    </row>
    <row r="729" spans="1:67" ht="13.4" customHeight="1">
      <c r="A729" s="6"/>
      <c r="B729" s="6"/>
      <c r="C729" s="6"/>
      <c r="D729" s="6"/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9"/>
      <c r="BJ729" s="19">
        <f t="shared" si="154"/>
        <v>0</v>
      </c>
      <c r="BK729" s="6"/>
      <c r="BL729" s="6"/>
      <c r="BM729" s="6"/>
      <c r="BN729" s="6"/>
      <c r="BO729" s="6"/>
    </row>
    <row r="730" spans="1:67" ht="13.4" customHeight="1">
      <c r="A730" s="6"/>
      <c r="B730" s="6"/>
      <c r="C730" s="6"/>
      <c r="D730" s="6"/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9"/>
      <c r="BJ730" s="19">
        <f t="shared" si="154"/>
        <v>0</v>
      </c>
      <c r="BK730" s="6"/>
      <c r="BL730" s="6"/>
      <c r="BM730" s="6"/>
      <c r="BN730" s="6"/>
      <c r="BO730" s="6"/>
    </row>
    <row r="731" spans="1:67" ht="13.4" customHeight="1">
      <c r="A731" s="6"/>
      <c r="B731" s="6"/>
      <c r="C731" s="6"/>
      <c r="D731" s="6"/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9"/>
      <c r="BJ731" s="19">
        <f t="shared" si="154"/>
        <v>0</v>
      </c>
      <c r="BK731" s="6"/>
      <c r="BL731" s="6"/>
      <c r="BM731" s="6"/>
      <c r="BN731" s="6"/>
      <c r="BO731" s="6"/>
    </row>
    <row r="732" spans="1:67" ht="13.4" customHeight="1">
      <c r="A732" s="6"/>
      <c r="B732" s="6"/>
      <c r="C732" s="6"/>
      <c r="D732" s="6"/>
      <c r="E732" s="6"/>
      <c r="F732" s="6"/>
      <c r="G732" s="6"/>
      <c r="H732" s="4"/>
      <c r="I732" s="4"/>
      <c r="J732" s="4"/>
      <c r="K732" s="4"/>
      <c r="L732" s="4"/>
      <c r="M732" s="4"/>
      <c r="N732" s="4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9"/>
      <c r="BJ732" s="19">
        <f t="shared" si="154"/>
        <v>0</v>
      </c>
      <c r="BK732" s="6"/>
      <c r="BL732" s="6"/>
      <c r="BM732" s="6"/>
      <c r="BN732" s="6"/>
      <c r="BO732" s="6"/>
    </row>
    <row r="733" spans="1:67" ht="13.4" customHeight="1">
      <c r="A733" s="6"/>
      <c r="B733" s="6"/>
      <c r="C733" s="6"/>
      <c r="D733" s="6"/>
      <c r="E733" s="6"/>
      <c r="F733" s="6"/>
      <c r="G733" s="6"/>
      <c r="H733" s="4"/>
      <c r="I733" s="4"/>
      <c r="J733" s="4"/>
      <c r="K733" s="4"/>
      <c r="L733" s="4"/>
      <c r="M733" s="4"/>
      <c r="N733" s="4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9"/>
      <c r="BJ733" s="19">
        <f t="shared" si="154"/>
        <v>0</v>
      </c>
      <c r="BK733" s="6"/>
      <c r="BL733" s="6"/>
      <c r="BM733" s="6"/>
      <c r="BN733" s="6"/>
      <c r="BO733" s="6"/>
    </row>
    <row r="734" spans="1:67" ht="13.4" customHeight="1">
      <c r="A734" s="6"/>
      <c r="B734" s="6"/>
      <c r="C734" s="6"/>
      <c r="D734" s="6"/>
      <c r="E734" s="6"/>
      <c r="F734" s="6"/>
      <c r="G734" s="6"/>
      <c r="H734" s="4"/>
      <c r="I734" s="4"/>
      <c r="J734" s="4"/>
      <c r="K734" s="4"/>
      <c r="L734" s="4"/>
      <c r="M734" s="4"/>
      <c r="N734" s="4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9"/>
      <c r="BJ734" s="19">
        <f t="shared" si="154"/>
        <v>0</v>
      </c>
      <c r="BK734" s="6"/>
      <c r="BL734" s="6"/>
      <c r="BM734" s="6"/>
      <c r="BN734" s="6"/>
      <c r="BO734" s="6"/>
    </row>
    <row r="735" spans="1:67" ht="13.4" customHeight="1">
      <c r="A735" s="6"/>
      <c r="B735" s="6"/>
      <c r="C735" s="6"/>
      <c r="D735" s="6"/>
      <c r="E735" s="6"/>
      <c r="F735" s="6"/>
      <c r="G735" s="6"/>
      <c r="H735" s="4"/>
      <c r="I735" s="4"/>
      <c r="J735" s="4"/>
      <c r="K735" s="4"/>
      <c r="L735" s="4"/>
      <c r="M735" s="4"/>
      <c r="N735" s="4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9"/>
      <c r="BJ735" s="19">
        <f t="shared" si="154"/>
        <v>0</v>
      </c>
      <c r="BK735" s="6"/>
      <c r="BL735" s="6"/>
      <c r="BM735" s="6"/>
      <c r="BN735" s="6"/>
      <c r="BO735" s="6"/>
    </row>
    <row r="736" spans="1:67" ht="13.4" customHeight="1">
      <c r="A736" s="6"/>
      <c r="B736" s="6"/>
      <c r="C736" s="6"/>
      <c r="D736" s="6"/>
      <c r="E736" s="6"/>
      <c r="F736" s="6"/>
      <c r="G736" s="6"/>
      <c r="H736" s="4"/>
      <c r="I736" s="4"/>
      <c r="J736" s="4"/>
      <c r="K736" s="4"/>
      <c r="L736" s="4"/>
      <c r="M736" s="4"/>
      <c r="N736" s="4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9"/>
      <c r="BJ736" s="19">
        <f t="shared" si="154"/>
        <v>0</v>
      </c>
      <c r="BK736" s="6"/>
      <c r="BL736" s="6"/>
      <c r="BM736" s="6"/>
      <c r="BN736" s="6"/>
      <c r="BO736" s="6"/>
    </row>
    <row r="737" spans="1:67" ht="13.4" customHeight="1">
      <c r="A737" s="6"/>
      <c r="B737" s="6"/>
      <c r="C737" s="6"/>
      <c r="D737" s="6"/>
      <c r="E737" s="6"/>
      <c r="F737" s="6"/>
      <c r="G737" s="6"/>
      <c r="H737" s="4"/>
      <c r="I737" s="4"/>
      <c r="J737" s="4"/>
      <c r="K737" s="4"/>
      <c r="L737" s="4"/>
      <c r="M737" s="4"/>
      <c r="N737" s="4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9"/>
      <c r="BJ737" s="19">
        <f t="shared" si="154"/>
        <v>0</v>
      </c>
      <c r="BK737" s="6"/>
      <c r="BL737" s="6"/>
      <c r="BM737" s="6"/>
      <c r="BN737" s="6"/>
      <c r="BO737" s="6"/>
    </row>
    <row r="738" spans="1:67" ht="13.4" customHeight="1">
      <c r="A738" s="6"/>
      <c r="B738" s="6"/>
      <c r="C738" s="6"/>
      <c r="D738" s="6"/>
      <c r="E738" s="6"/>
      <c r="F738" s="6"/>
      <c r="G738" s="6"/>
      <c r="H738" s="4"/>
      <c r="I738" s="4"/>
      <c r="J738" s="4"/>
      <c r="K738" s="4"/>
      <c r="L738" s="4"/>
      <c r="M738" s="4"/>
      <c r="N738" s="4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9"/>
      <c r="BJ738" s="19">
        <f t="shared" si="154"/>
        <v>0</v>
      </c>
      <c r="BK738" s="6"/>
      <c r="BL738" s="6"/>
      <c r="BM738" s="6"/>
      <c r="BN738" s="6"/>
      <c r="BO738" s="6"/>
    </row>
    <row r="739" spans="1:67" ht="13.4" customHeight="1">
      <c r="A739" s="6"/>
      <c r="B739" s="6"/>
      <c r="C739" s="6"/>
      <c r="D739" s="6"/>
      <c r="E739" s="6"/>
      <c r="F739" s="6"/>
      <c r="G739" s="6"/>
      <c r="H739" s="4"/>
      <c r="I739" s="4"/>
      <c r="J739" s="4"/>
      <c r="K739" s="4"/>
      <c r="L739" s="4"/>
      <c r="M739" s="4"/>
      <c r="N739" s="4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9"/>
      <c r="BJ739" s="19">
        <f t="shared" si="154"/>
        <v>0</v>
      </c>
      <c r="BK739" s="6"/>
      <c r="BL739" s="6"/>
      <c r="BM739" s="6"/>
      <c r="BN739" s="6"/>
      <c r="BO739" s="6"/>
    </row>
    <row r="740" spans="1:67" ht="13.4" customHeight="1">
      <c r="A740" s="6"/>
      <c r="B740" s="6"/>
      <c r="C740" s="6"/>
      <c r="D740" s="6"/>
      <c r="E740" s="6"/>
      <c r="F740" s="6"/>
      <c r="G740" s="6"/>
      <c r="H740" s="4"/>
      <c r="I740" s="4"/>
      <c r="J740" s="4"/>
      <c r="K740" s="4"/>
      <c r="L740" s="4"/>
      <c r="M740" s="4"/>
      <c r="N740" s="4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9"/>
      <c r="BJ740" s="19">
        <f t="shared" si="154"/>
        <v>0</v>
      </c>
      <c r="BK740" s="6"/>
      <c r="BL740" s="6"/>
      <c r="BM740" s="6"/>
      <c r="BN740" s="6"/>
      <c r="BO740" s="6"/>
    </row>
    <row r="741" spans="1:67" ht="13.4" customHeight="1">
      <c r="A741" s="6"/>
      <c r="B741" s="6"/>
      <c r="C741" s="6"/>
      <c r="D741" s="6"/>
      <c r="E741" s="6"/>
      <c r="F741" s="6"/>
      <c r="G741" s="6"/>
      <c r="H741" s="4"/>
      <c r="I741" s="4"/>
      <c r="J741" s="4"/>
      <c r="K741" s="4"/>
      <c r="L741" s="4"/>
      <c r="M741" s="4"/>
      <c r="N741" s="4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9"/>
      <c r="BJ741" s="19">
        <f t="shared" si="154"/>
        <v>0</v>
      </c>
      <c r="BK741" s="6"/>
      <c r="BL741" s="6"/>
      <c r="BM741" s="6"/>
      <c r="BN741" s="6"/>
      <c r="BO741" s="6"/>
    </row>
    <row r="742" spans="1:67" ht="13.4" customHeight="1">
      <c r="A742" s="6"/>
      <c r="B742" s="6"/>
      <c r="C742" s="6"/>
      <c r="D742" s="6"/>
      <c r="E742" s="6"/>
      <c r="F742" s="6"/>
      <c r="G742" s="6"/>
      <c r="H742" s="4"/>
      <c r="I742" s="4"/>
      <c r="J742" s="4"/>
      <c r="K742" s="4"/>
      <c r="L742" s="4"/>
      <c r="M742" s="4"/>
      <c r="N742" s="4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9"/>
      <c r="BJ742" s="19">
        <f t="shared" si="154"/>
        <v>0</v>
      </c>
      <c r="BK742" s="6"/>
      <c r="BL742" s="6"/>
      <c r="BM742" s="6"/>
      <c r="BN742" s="6"/>
      <c r="BO742" s="6"/>
    </row>
    <row r="743" spans="1:67" ht="13.4" customHeight="1">
      <c r="A743" s="6"/>
      <c r="B743" s="6"/>
      <c r="C743" s="6"/>
      <c r="D743" s="6"/>
      <c r="E743" s="6"/>
      <c r="F743" s="6"/>
      <c r="G743" s="6"/>
      <c r="H743" s="4"/>
      <c r="I743" s="4"/>
      <c r="J743" s="4"/>
      <c r="K743" s="4"/>
      <c r="L743" s="4"/>
      <c r="M743" s="4"/>
      <c r="N743" s="4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9"/>
      <c r="BJ743" s="19">
        <f t="shared" si="154"/>
        <v>0</v>
      </c>
      <c r="BK743" s="6"/>
      <c r="BL743" s="6"/>
      <c r="BM743" s="6"/>
      <c r="BN743" s="6"/>
      <c r="BO743" s="6"/>
    </row>
    <row r="744" spans="1:67" ht="13.4" customHeight="1">
      <c r="A744" s="6"/>
      <c r="B744" s="6"/>
      <c r="C744" s="6"/>
      <c r="D744" s="6"/>
      <c r="E744" s="6"/>
      <c r="F744" s="6"/>
      <c r="G744" s="6"/>
      <c r="H744" s="4"/>
      <c r="I744" s="4"/>
      <c r="J744" s="4"/>
      <c r="K744" s="4"/>
      <c r="L744" s="4"/>
      <c r="M744" s="4"/>
      <c r="N744" s="4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9"/>
      <c r="BJ744" s="19">
        <f t="shared" si="154"/>
        <v>0</v>
      </c>
      <c r="BK744" s="6"/>
      <c r="BL744" s="6"/>
      <c r="BM744" s="6"/>
      <c r="BN744" s="6"/>
      <c r="BO744" s="6"/>
    </row>
    <row r="745" spans="1:67" ht="13.4" customHeight="1">
      <c r="A745" s="6"/>
      <c r="B745" s="6"/>
      <c r="C745" s="6"/>
      <c r="D745" s="6"/>
      <c r="E745" s="6"/>
      <c r="F745" s="6"/>
      <c r="G745" s="6"/>
      <c r="H745" s="4"/>
      <c r="I745" s="4"/>
      <c r="J745" s="4"/>
      <c r="K745" s="4"/>
      <c r="L745" s="4"/>
      <c r="M745" s="4"/>
      <c r="N745" s="4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9"/>
      <c r="BJ745" s="19">
        <f t="shared" si="154"/>
        <v>0</v>
      </c>
      <c r="BK745" s="6"/>
      <c r="BL745" s="6"/>
      <c r="BM745" s="6"/>
      <c r="BN745" s="6"/>
      <c r="BO745" s="6"/>
    </row>
    <row r="746" spans="1:67" ht="13.4" customHeight="1">
      <c r="A746" s="6"/>
      <c r="B746" s="6"/>
      <c r="C746" s="6"/>
      <c r="D746" s="6"/>
      <c r="E746" s="6"/>
      <c r="F746" s="6"/>
      <c r="G746" s="6"/>
      <c r="H746" s="4"/>
      <c r="I746" s="4"/>
      <c r="J746" s="4"/>
      <c r="K746" s="4"/>
      <c r="L746" s="4"/>
      <c r="M746" s="4"/>
      <c r="N746" s="4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9"/>
      <c r="BJ746" s="19">
        <f t="shared" si="154"/>
        <v>0</v>
      </c>
      <c r="BK746" s="6"/>
      <c r="BL746" s="6"/>
      <c r="BM746" s="6"/>
      <c r="BN746" s="6"/>
      <c r="BO746" s="6"/>
    </row>
    <row r="747" spans="1:67" ht="13.4" customHeight="1">
      <c r="A747" s="6"/>
      <c r="B747" s="6"/>
      <c r="C747" s="6"/>
      <c r="D747" s="6"/>
      <c r="E747" s="6"/>
      <c r="F747" s="6"/>
      <c r="G747" s="6"/>
      <c r="H747" s="4"/>
      <c r="I747" s="4"/>
      <c r="J747" s="4"/>
      <c r="K747" s="4"/>
      <c r="L747" s="4"/>
      <c r="M747" s="4"/>
      <c r="N747" s="4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9"/>
      <c r="BJ747" s="19">
        <f t="shared" si="154"/>
        <v>0</v>
      </c>
      <c r="BK747" s="6"/>
      <c r="BL747" s="6"/>
      <c r="BM747" s="6"/>
      <c r="BN747" s="6"/>
      <c r="BO747" s="6"/>
    </row>
    <row r="748" spans="1:67" ht="13.4" customHeight="1">
      <c r="A748" s="6"/>
      <c r="B748" s="6"/>
      <c r="C748" s="6"/>
      <c r="D748" s="6"/>
      <c r="E748" s="6"/>
      <c r="F748" s="6"/>
      <c r="G748" s="6"/>
      <c r="H748" s="4"/>
      <c r="I748" s="4"/>
      <c r="J748" s="4"/>
      <c r="K748" s="4"/>
      <c r="L748" s="4"/>
      <c r="M748" s="4"/>
      <c r="N748" s="4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9"/>
      <c r="BJ748" s="19">
        <f t="shared" si="154"/>
        <v>0</v>
      </c>
      <c r="BK748" s="6"/>
      <c r="BL748" s="6"/>
      <c r="BM748" s="6"/>
      <c r="BN748" s="6"/>
      <c r="BO748" s="6"/>
    </row>
    <row r="749" spans="1:67" ht="13.4" customHeight="1">
      <c r="A749" s="6"/>
      <c r="B749" s="6"/>
      <c r="C749" s="6"/>
      <c r="D749" s="6"/>
      <c r="E749" s="6"/>
      <c r="F749" s="6"/>
      <c r="G749" s="6"/>
      <c r="H749" s="4"/>
      <c r="I749" s="4"/>
      <c r="J749" s="4"/>
      <c r="K749" s="4"/>
      <c r="L749" s="4"/>
      <c r="M749" s="4"/>
      <c r="N749" s="4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9"/>
      <c r="BJ749" s="19">
        <f t="shared" si="154"/>
        <v>0</v>
      </c>
      <c r="BK749" s="6"/>
      <c r="BL749" s="6"/>
      <c r="BM749" s="6"/>
      <c r="BN749" s="6"/>
      <c r="BO749" s="6"/>
    </row>
    <row r="750" spans="1:67" ht="13.4" customHeight="1">
      <c r="A750" s="6"/>
      <c r="B750" s="6"/>
      <c r="C750" s="6"/>
      <c r="D750" s="6"/>
      <c r="E750" s="6"/>
      <c r="F750" s="6"/>
      <c r="G750" s="6"/>
      <c r="H750" s="4"/>
      <c r="I750" s="4"/>
      <c r="J750" s="4"/>
      <c r="K750" s="4"/>
      <c r="L750" s="4"/>
      <c r="M750" s="4"/>
      <c r="N750" s="4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9"/>
      <c r="BJ750" s="19">
        <f t="shared" si="154"/>
        <v>0</v>
      </c>
      <c r="BK750" s="6"/>
      <c r="BL750" s="6"/>
      <c r="BM750" s="6"/>
      <c r="BN750" s="6"/>
      <c r="BO750" s="6"/>
    </row>
    <row r="751" spans="1:67" ht="13.4" customHeight="1">
      <c r="A751" s="6"/>
      <c r="B751" s="6"/>
      <c r="C751" s="6"/>
      <c r="D751" s="6"/>
      <c r="E751" s="6"/>
      <c r="F751" s="6"/>
      <c r="G751" s="6"/>
      <c r="H751" s="4"/>
      <c r="I751" s="4"/>
      <c r="J751" s="4"/>
      <c r="K751" s="4"/>
      <c r="L751" s="4"/>
      <c r="M751" s="4"/>
      <c r="N751" s="4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9"/>
      <c r="BJ751" s="19">
        <f t="shared" si="154"/>
        <v>0</v>
      </c>
      <c r="BK751" s="6"/>
      <c r="BL751" s="6"/>
      <c r="BM751" s="6"/>
      <c r="BN751" s="6"/>
      <c r="BO751" s="6"/>
    </row>
    <row r="752" spans="1:67" ht="13.4" customHeight="1">
      <c r="A752" s="6"/>
      <c r="B752" s="6"/>
      <c r="C752" s="6"/>
      <c r="D752" s="6"/>
      <c r="E752" s="6"/>
      <c r="F752" s="6"/>
      <c r="G752" s="6"/>
      <c r="H752" s="4"/>
      <c r="I752" s="4"/>
      <c r="J752" s="4"/>
      <c r="K752" s="4"/>
      <c r="L752" s="4"/>
      <c r="M752" s="4"/>
      <c r="N752" s="4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9"/>
      <c r="BJ752" s="19">
        <f t="shared" si="154"/>
        <v>0</v>
      </c>
      <c r="BK752" s="6"/>
      <c r="BL752" s="6"/>
      <c r="BM752" s="6"/>
      <c r="BN752" s="6"/>
      <c r="BO752" s="6"/>
    </row>
    <row r="753" spans="1:67" ht="13.4" customHeight="1">
      <c r="A753" s="6"/>
      <c r="B753" s="6"/>
      <c r="C753" s="6"/>
      <c r="D753" s="6"/>
      <c r="E753" s="6"/>
      <c r="F753" s="6"/>
      <c r="G753" s="6"/>
      <c r="H753" s="4"/>
      <c r="I753" s="4"/>
      <c r="J753" s="4"/>
      <c r="K753" s="4"/>
      <c r="L753" s="4"/>
      <c r="M753" s="4"/>
      <c r="N753" s="4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9"/>
      <c r="BJ753" s="19">
        <f t="shared" si="154"/>
        <v>0</v>
      </c>
      <c r="BK753" s="6"/>
      <c r="BL753" s="6"/>
      <c r="BM753" s="6"/>
      <c r="BN753" s="6"/>
      <c r="BO753" s="6"/>
    </row>
    <row r="754" spans="1:67" ht="13.4" customHeight="1">
      <c r="A754" s="6"/>
      <c r="B754" s="6"/>
      <c r="C754" s="6"/>
      <c r="D754" s="6"/>
      <c r="E754" s="6"/>
      <c r="F754" s="6"/>
      <c r="G754" s="6"/>
      <c r="H754" s="4"/>
      <c r="I754" s="4"/>
      <c r="J754" s="4"/>
      <c r="K754" s="4"/>
      <c r="L754" s="4"/>
      <c r="M754" s="4"/>
      <c r="N754" s="4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9"/>
      <c r="BJ754" s="19">
        <f t="shared" si="154"/>
        <v>0</v>
      </c>
      <c r="BK754" s="6"/>
      <c r="BL754" s="6"/>
      <c r="BM754" s="6"/>
      <c r="BN754" s="6"/>
      <c r="BO754" s="6"/>
    </row>
    <row r="755" spans="1:67" ht="13.4" customHeight="1">
      <c r="A755" s="6"/>
      <c r="B755" s="6"/>
      <c r="C755" s="6"/>
      <c r="D755" s="6"/>
      <c r="E755" s="6"/>
      <c r="F755" s="6"/>
      <c r="G755" s="6"/>
      <c r="H755" s="4"/>
      <c r="I755" s="4"/>
      <c r="J755" s="4"/>
      <c r="K755" s="4"/>
      <c r="L755" s="4"/>
      <c r="M755" s="4"/>
      <c r="N755" s="4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9"/>
      <c r="BJ755" s="19">
        <f t="shared" si="154"/>
        <v>0</v>
      </c>
      <c r="BK755" s="6"/>
      <c r="BL755" s="6"/>
      <c r="BM755" s="6"/>
      <c r="BN755" s="6"/>
      <c r="BO755" s="6"/>
    </row>
    <row r="756" spans="1:67" ht="13.4" customHeight="1">
      <c r="A756" s="6"/>
      <c r="B756" s="6"/>
      <c r="C756" s="6"/>
      <c r="D756" s="6"/>
      <c r="E756" s="6"/>
      <c r="F756" s="6"/>
      <c r="G756" s="6"/>
      <c r="H756" s="4"/>
      <c r="I756" s="4"/>
      <c r="J756" s="4"/>
      <c r="K756" s="4"/>
      <c r="L756" s="4"/>
      <c r="M756" s="4"/>
      <c r="N756" s="4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9"/>
      <c r="BJ756" s="19">
        <f t="shared" si="154"/>
        <v>0</v>
      </c>
      <c r="BK756" s="6"/>
      <c r="BL756" s="6"/>
      <c r="BM756" s="6"/>
      <c r="BN756" s="6"/>
      <c r="BO756" s="6"/>
    </row>
    <row r="757" spans="1:67" ht="13.4" customHeight="1">
      <c r="A757" s="6"/>
      <c r="B757" s="6"/>
      <c r="C757" s="6"/>
      <c r="D757" s="6"/>
      <c r="E757" s="6"/>
      <c r="F757" s="6"/>
      <c r="G757" s="6"/>
      <c r="H757" s="4"/>
      <c r="I757" s="4"/>
      <c r="J757" s="4"/>
      <c r="K757" s="4"/>
      <c r="L757" s="4"/>
      <c r="M757" s="4"/>
      <c r="N757" s="4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9"/>
      <c r="BJ757" s="19">
        <f t="shared" si="154"/>
        <v>0</v>
      </c>
      <c r="BK757" s="6"/>
      <c r="BL757" s="6"/>
      <c r="BM757" s="6"/>
      <c r="BN757" s="6"/>
      <c r="BO757" s="6"/>
    </row>
    <row r="758" spans="1:67" ht="13.4" customHeight="1">
      <c r="A758" s="6"/>
      <c r="B758" s="6"/>
      <c r="C758" s="6"/>
      <c r="D758" s="6"/>
      <c r="E758" s="6"/>
      <c r="F758" s="6"/>
      <c r="G758" s="6"/>
      <c r="H758" s="4"/>
      <c r="I758" s="4"/>
      <c r="J758" s="4"/>
      <c r="K758" s="4"/>
      <c r="L758" s="4"/>
      <c r="M758" s="4"/>
      <c r="N758" s="4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9"/>
      <c r="BJ758" s="19">
        <f t="shared" si="154"/>
        <v>0</v>
      </c>
      <c r="BK758" s="6"/>
      <c r="BL758" s="6"/>
      <c r="BM758" s="6"/>
      <c r="BN758" s="6"/>
      <c r="BO758" s="6"/>
    </row>
    <row r="759" spans="1:67" ht="13.4" customHeight="1">
      <c r="A759" s="6"/>
      <c r="B759" s="6"/>
      <c r="C759" s="6"/>
      <c r="D759" s="6"/>
      <c r="E759" s="6"/>
      <c r="F759" s="6"/>
      <c r="G759" s="6"/>
      <c r="H759" s="4"/>
      <c r="I759" s="4"/>
      <c r="J759" s="4"/>
      <c r="K759" s="4"/>
      <c r="L759" s="4"/>
      <c r="M759" s="4"/>
      <c r="N759" s="4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9"/>
      <c r="BJ759" s="19">
        <f t="shared" si="154"/>
        <v>0</v>
      </c>
      <c r="BK759" s="6"/>
      <c r="BL759" s="6"/>
      <c r="BM759" s="6"/>
      <c r="BN759" s="6"/>
      <c r="BO759" s="6"/>
    </row>
    <row r="760" spans="1:67" ht="13.4" customHeight="1">
      <c r="A760" s="6"/>
      <c r="B760" s="6"/>
      <c r="C760" s="6"/>
      <c r="D760" s="6"/>
      <c r="E760" s="6"/>
      <c r="F760" s="6"/>
      <c r="G760" s="6"/>
      <c r="H760" s="4"/>
      <c r="I760" s="4"/>
      <c r="J760" s="4"/>
      <c r="K760" s="4"/>
      <c r="L760" s="4"/>
      <c r="M760" s="4"/>
      <c r="N760" s="4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9"/>
      <c r="BJ760" s="19">
        <f t="shared" si="154"/>
        <v>0</v>
      </c>
      <c r="BK760" s="6"/>
      <c r="BL760" s="6"/>
      <c r="BM760" s="6"/>
      <c r="BN760" s="6"/>
      <c r="BO760" s="6"/>
    </row>
    <row r="761" spans="1:67" ht="13.4" customHeight="1">
      <c r="A761" s="6"/>
      <c r="B761" s="6"/>
      <c r="C761" s="6"/>
      <c r="D761" s="6"/>
      <c r="E761" s="6"/>
      <c r="F761" s="6"/>
      <c r="G761" s="6"/>
      <c r="H761" s="4"/>
      <c r="I761" s="4"/>
      <c r="J761" s="4"/>
      <c r="K761" s="4"/>
      <c r="L761" s="4"/>
      <c r="M761" s="4"/>
      <c r="N761" s="4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9"/>
      <c r="BJ761" s="19">
        <f t="shared" si="154"/>
        <v>0</v>
      </c>
      <c r="BK761" s="6"/>
      <c r="BL761" s="6"/>
      <c r="BM761" s="6"/>
      <c r="BN761" s="6"/>
      <c r="BO761" s="6"/>
    </row>
    <row r="762" spans="1:67" ht="13.4" customHeight="1">
      <c r="A762" s="6"/>
      <c r="B762" s="6"/>
      <c r="C762" s="6"/>
      <c r="D762" s="6"/>
      <c r="E762" s="6"/>
      <c r="F762" s="6"/>
      <c r="G762" s="6"/>
      <c r="H762" s="4"/>
      <c r="I762" s="4"/>
      <c r="J762" s="4"/>
      <c r="K762" s="4"/>
      <c r="L762" s="4"/>
      <c r="M762" s="4"/>
      <c r="N762" s="4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9"/>
      <c r="BJ762" s="19">
        <f t="shared" si="154"/>
        <v>0</v>
      </c>
      <c r="BK762" s="6"/>
      <c r="BL762" s="6"/>
      <c r="BM762" s="6"/>
      <c r="BN762" s="6"/>
      <c r="BO762" s="6"/>
    </row>
    <row r="763" spans="1:67" ht="13.4" customHeight="1">
      <c r="A763" s="6"/>
      <c r="B763" s="6"/>
      <c r="C763" s="6"/>
      <c r="D763" s="6"/>
      <c r="E763" s="6"/>
      <c r="F763" s="6"/>
      <c r="G763" s="6"/>
      <c r="H763" s="4"/>
      <c r="I763" s="4"/>
      <c r="J763" s="4"/>
      <c r="K763" s="4"/>
      <c r="L763" s="4"/>
      <c r="M763" s="4"/>
      <c r="N763" s="4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9"/>
      <c r="BJ763" s="19">
        <f t="shared" si="154"/>
        <v>0</v>
      </c>
      <c r="BK763" s="6"/>
      <c r="BL763" s="6"/>
      <c r="BM763" s="6"/>
      <c r="BN763" s="6"/>
      <c r="BO763" s="6"/>
    </row>
    <row r="764" spans="1:67" ht="13.4" customHeight="1">
      <c r="A764" s="6"/>
      <c r="B764" s="6"/>
      <c r="C764" s="6"/>
      <c r="D764" s="6"/>
      <c r="E764" s="6"/>
      <c r="F764" s="6"/>
      <c r="G764" s="6"/>
      <c r="H764" s="4"/>
      <c r="I764" s="4"/>
      <c r="J764" s="4"/>
      <c r="K764" s="4"/>
      <c r="L764" s="4"/>
      <c r="M764" s="4"/>
      <c r="N764" s="4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9"/>
      <c r="BJ764" s="19">
        <f t="shared" si="154"/>
        <v>0</v>
      </c>
      <c r="BK764" s="6"/>
      <c r="BL764" s="6"/>
      <c r="BM764" s="6"/>
      <c r="BN764" s="6"/>
      <c r="BO764" s="6"/>
    </row>
    <row r="765" spans="1:67" ht="13.4" customHeight="1">
      <c r="A765" s="6"/>
      <c r="B765" s="6"/>
      <c r="C765" s="6"/>
      <c r="D765" s="6"/>
      <c r="E765" s="6"/>
      <c r="F765" s="6"/>
      <c r="G765" s="6"/>
      <c r="H765" s="4"/>
      <c r="I765" s="4"/>
      <c r="J765" s="4"/>
      <c r="K765" s="4"/>
      <c r="L765" s="4"/>
      <c r="M765" s="4"/>
      <c r="N765" s="4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9"/>
      <c r="BJ765" s="19">
        <f t="shared" si="154"/>
        <v>0</v>
      </c>
      <c r="BK765" s="6"/>
      <c r="BL765" s="6"/>
      <c r="BM765" s="6"/>
      <c r="BN765" s="6"/>
      <c r="BO765" s="6"/>
    </row>
    <row r="766" spans="1:67" ht="13.4" customHeight="1">
      <c r="A766" s="6"/>
      <c r="B766" s="6"/>
      <c r="C766" s="6"/>
      <c r="D766" s="6"/>
      <c r="E766" s="6"/>
      <c r="F766" s="6"/>
      <c r="G766" s="6"/>
      <c r="H766" s="4"/>
      <c r="I766" s="4"/>
      <c r="J766" s="4"/>
      <c r="K766" s="4"/>
      <c r="L766" s="4"/>
      <c r="M766" s="4"/>
      <c r="N766" s="4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9"/>
      <c r="BJ766" s="19">
        <f t="shared" si="154"/>
        <v>0</v>
      </c>
      <c r="BK766" s="6"/>
      <c r="BL766" s="6"/>
      <c r="BM766" s="6"/>
      <c r="BN766" s="6"/>
      <c r="BO766" s="6"/>
    </row>
    <row r="767" spans="1:67" ht="13.4" customHeight="1">
      <c r="A767" s="6"/>
      <c r="B767" s="6"/>
      <c r="C767" s="6"/>
      <c r="D767" s="6"/>
      <c r="E767" s="6"/>
      <c r="F767" s="6"/>
      <c r="G767" s="6"/>
      <c r="H767" s="4"/>
      <c r="I767" s="4"/>
      <c r="J767" s="4"/>
      <c r="K767" s="4"/>
      <c r="L767" s="4"/>
      <c r="M767" s="4"/>
      <c r="N767" s="4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9"/>
      <c r="BJ767" s="19">
        <f t="shared" si="154"/>
        <v>0</v>
      </c>
      <c r="BK767" s="6"/>
      <c r="BL767" s="6"/>
      <c r="BM767" s="6"/>
      <c r="BN767" s="6"/>
      <c r="BO767" s="6"/>
    </row>
    <row r="768" spans="1:67" ht="13.4" customHeight="1">
      <c r="A768" s="6"/>
      <c r="B768" s="6"/>
      <c r="C768" s="6"/>
      <c r="D768" s="6"/>
      <c r="E768" s="6"/>
      <c r="F768" s="6"/>
      <c r="G768" s="6"/>
      <c r="H768" s="4"/>
      <c r="I768" s="4"/>
      <c r="J768" s="4"/>
      <c r="K768" s="4"/>
      <c r="L768" s="4"/>
      <c r="M768" s="4"/>
      <c r="N768" s="4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9"/>
      <c r="BJ768" s="19">
        <f t="shared" si="154"/>
        <v>0</v>
      </c>
      <c r="BK768" s="6"/>
      <c r="BL768" s="6"/>
      <c r="BM768" s="6"/>
      <c r="BN768" s="6"/>
      <c r="BO768" s="6"/>
    </row>
    <row r="769" spans="1:67" ht="13.4" customHeight="1">
      <c r="A769" s="6"/>
      <c r="B769" s="6"/>
      <c r="C769" s="6"/>
      <c r="D769" s="6"/>
      <c r="E769" s="6"/>
      <c r="F769" s="6"/>
      <c r="G769" s="6"/>
      <c r="H769" s="4"/>
      <c r="I769" s="4"/>
      <c r="J769" s="4"/>
      <c r="K769" s="4"/>
      <c r="L769" s="4"/>
      <c r="M769" s="4"/>
      <c r="N769" s="4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9"/>
      <c r="BJ769" s="19">
        <f t="shared" si="154"/>
        <v>0</v>
      </c>
      <c r="BK769" s="6"/>
      <c r="BL769" s="6"/>
      <c r="BM769" s="6"/>
      <c r="BN769" s="6"/>
      <c r="BO769" s="6"/>
    </row>
    <row r="770" spans="1:67" ht="13.4" customHeight="1">
      <c r="A770" s="6"/>
      <c r="B770" s="6"/>
      <c r="C770" s="6"/>
      <c r="D770" s="6"/>
      <c r="E770" s="6"/>
      <c r="F770" s="6"/>
      <c r="G770" s="6"/>
      <c r="H770" s="4"/>
      <c r="I770" s="4"/>
      <c r="J770" s="4"/>
      <c r="K770" s="4"/>
      <c r="L770" s="4"/>
      <c r="M770" s="4"/>
      <c r="N770" s="4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9"/>
      <c r="BJ770" s="19">
        <f t="shared" si="154"/>
        <v>0</v>
      </c>
      <c r="BK770" s="6"/>
      <c r="BL770" s="6"/>
      <c r="BM770" s="6"/>
      <c r="BN770" s="6"/>
      <c r="BO770" s="6"/>
    </row>
    <row r="771" spans="1:67" ht="13.4" customHeight="1">
      <c r="A771" s="6"/>
      <c r="B771" s="6"/>
      <c r="C771" s="6"/>
      <c r="D771" s="6"/>
      <c r="E771" s="6"/>
      <c r="F771" s="6"/>
      <c r="G771" s="6"/>
      <c r="H771" s="4"/>
      <c r="I771" s="4"/>
      <c r="J771" s="4"/>
      <c r="K771" s="4"/>
      <c r="L771" s="4"/>
      <c r="M771" s="4"/>
      <c r="N771" s="4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9"/>
      <c r="BJ771" s="19">
        <f t="shared" ref="BJ771:BJ834" si="155">A771</f>
        <v>0</v>
      </c>
      <c r="BK771" s="6"/>
      <c r="BL771" s="6"/>
      <c r="BM771" s="6"/>
      <c r="BN771" s="6"/>
      <c r="BO771" s="6"/>
    </row>
    <row r="772" spans="1:67" ht="13.4" customHeight="1">
      <c r="A772" s="6"/>
      <c r="B772" s="6"/>
      <c r="C772" s="6"/>
      <c r="D772" s="6"/>
      <c r="E772" s="6"/>
      <c r="F772" s="6"/>
      <c r="G772" s="6"/>
      <c r="H772" s="4"/>
      <c r="I772" s="4"/>
      <c r="J772" s="4"/>
      <c r="K772" s="4"/>
      <c r="L772" s="4"/>
      <c r="M772" s="4"/>
      <c r="N772" s="4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9"/>
      <c r="BJ772" s="19">
        <f t="shared" si="155"/>
        <v>0</v>
      </c>
      <c r="BK772" s="6"/>
      <c r="BL772" s="6"/>
      <c r="BM772" s="6"/>
      <c r="BN772" s="6"/>
      <c r="BO772" s="6"/>
    </row>
    <row r="773" spans="1:67" ht="13.4" customHeight="1">
      <c r="A773" s="6"/>
      <c r="B773" s="6"/>
      <c r="C773" s="6"/>
      <c r="D773" s="6"/>
      <c r="E773" s="6"/>
      <c r="F773" s="6"/>
      <c r="G773" s="6"/>
      <c r="H773" s="4"/>
      <c r="I773" s="4"/>
      <c r="J773" s="4"/>
      <c r="K773" s="4"/>
      <c r="L773" s="4"/>
      <c r="M773" s="4"/>
      <c r="N773" s="4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9"/>
      <c r="BJ773" s="19">
        <f t="shared" si="155"/>
        <v>0</v>
      </c>
      <c r="BK773" s="6"/>
      <c r="BL773" s="6"/>
      <c r="BM773" s="6"/>
      <c r="BN773" s="6"/>
      <c r="BO773" s="6"/>
    </row>
    <row r="774" spans="1:67" ht="13.4" customHeight="1">
      <c r="A774" s="6"/>
      <c r="B774" s="6"/>
      <c r="C774" s="6"/>
      <c r="D774" s="6"/>
      <c r="E774" s="6"/>
      <c r="F774" s="6"/>
      <c r="G774" s="6"/>
      <c r="H774" s="4"/>
      <c r="I774" s="4"/>
      <c r="J774" s="4"/>
      <c r="K774" s="4"/>
      <c r="L774" s="4"/>
      <c r="M774" s="4"/>
      <c r="N774" s="4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9"/>
      <c r="BJ774" s="19">
        <f t="shared" si="155"/>
        <v>0</v>
      </c>
      <c r="BK774" s="6"/>
      <c r="BL774" s="6"/>
      <c r="BM774" s="6"/>
      <c r="BN774" s="6"/>
      <c r="BO774" s="6"/>
    </row>
    <row r="775" spans="1:67" ht="13.4" customHeight="1">
      <c r="A775" s="6"/>
      <c r="B775" s="6"/>
      <c r="C775" s="6"/>
      <c r="D775" s="6"/>
      <c r="E775" s="6"/>
      <c r="F775" s="6"/>
      <c r="G775" s="6"/>
      <c r="H775" s="4"/>
      <c r="I775" s="4"/>
      <c r="J775" s="4"/>
      <c r="K775" s="4"/>
      <c r="L775" s="4"/>
      <c r="M775" s="4"/>
      <c r="N775" s="4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9"/>
      <c r="BJ775" s="19">
        <f t="shared" si="155"/>
        <v>0</v>
      </c>
      <c r="BK775" s="6"/>
      <c r="BL775" s="6"/>
      <c r="BM775" s="6"/>
      <c r="BN775" s="6"/>
      <c r="BO775" s="6"/>
    </row>
    <row r="776" spans="1:67" ht="13.4" customHeight="1">
      <c r="A776" s="6"/>
      <c r="B776" s="6"/>
      <c r="C776" s="6"/>
      <c r="D776" s="6"/>
      <c r="E776" s="6"/>
      <c r="F776" s="6"/>
      <c r="G776" s="6"/>
      <c r="H776" s="4"/>
      <c r="I776" s="4"/>
      <c r="J776" s="4"/>
      <c r="K776" s="4"/>
      <c r="L776" s="4"/>
      <c r="M776" s="4"/>
      <c r="N776" s="4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9"/>
      <c r="BJ776" s="19">
        <f t="shared" si="155"/>
        <v>0</v>
      </c>
      <c r="BK776" s="6"/>
      <c r="BL776" s="6"/>
      <c r="BM776" s="6"/>
      <c r="BN776" s="6"/>
      <c r="BO776" s="6"/>
    </row>
    <row r="777" spans="1:67" ht="13.4" customHeight="1">
      <c r="A777" s="6"/>
      <c r="B777" s="6"/>
      <c r="C777" s="6"/>
      <c r="D777" s="6"/>
      <c r="E777" s="6"/>
      <c r="F777" s="6"/>
      <c r="G777" s="6"/>
      <c r="H777" s="4"/>
      <c r="I777" s="4"/>
      <c r="J777" s="4"/>
      <c r="K777" s="4"/>
      <c r="L777" s="4"/>
      <c r="M777" s="4"/>
      <c r="N777" s="4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9"/>
      <c r="BJ777" s="19">
        <f t="shared" si="155"/>
        <v>0</v>
      </c>
      <c r="BK777" s="6"/>
      <c r="BL777" s="6"/>
      <c r="BM777" s="6"/>
      <c r="BN777" s="6"/>
      <c r="BO777" s="6"/>
    </row>
    <row r="778" spans="1:67" ht="13.4" customHeight="1">
      <c r="A778" s="6"/>
      <c r="B778" s="6"/>
      <c r="C778" s="6"/>
      <c r="D778" s="6"/>
      <c r="E778" s="6"/>
      <c r="F778" s="6"/>
      <c r="G778" s="6"/>
      <c r="H778" s="4"/>
      <c r="I778" s="4"/>
      <c r="J778" s="4"/>
      <c r="K778" s="4"/>
      <c r="L778" s="4"/>
      <c r="M778" s="4"/>
      <c r="N778" s="4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9"/>
      <c r="BJ778" s="19">
        <f t="shared" si="155"/>
        <v>0</v>
      </c>
      <c r="BK778" s="6"/>
      <c r="BL778" s="6"/>
      <c r="BM778" s="6"/>
      <c r="BN778" s="6"/>
      <c r="BO778" s="6"/>
    </row>
    <row r="779" spans="1:67" ht="13.4" customHeight="1">
      <c r="A779" s="6"/>
      <c r="B779" s="6"/>
      <c r="C779" s="6"/>
      <c r="D779" s="6"/>
      <c r="E779" s="6"/>
      <c r="F779" s="6"/>
      <c r="G779" s="6"/>
      <c r="H779" s="4"/>
      <c r="I779" s="4"/>
      <c r="J779" s="4"/>
      <c r="K779" s="4"/>
      <c r="L779" s="4"/>
      <c r="M779" s="4"/>
      <c r="N779" s="4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9"/>
      <c r="BJ779" s="19">
        <f t="shared" si="155"/>
        <v>0</v>
      </c>
      <c r="BK779" s="6"/>
      <c r="BL779" s="6"/>
      <c r="BM779" s="6"/>
      <c r="BN779" s="6"/>
      <c r="BO779" s="6"/>
    </row>
    <row r="780" spans="1:67" ht="13.4" customHeight="1">
      <c r="A780" s="6"/>
      <c r="B780" s="6"/>
      <c r="C780" s="6"/>
      <c r="D780" s="6"/>
      <c r="E780" s="6"/>
      <c r="F780" s="6"/>
      <c r="G780" s="6"/>
      <c r="H780" s="4"/>
      <c r="I780" s="4"/>
      <c r="J780" s="4"/>
      <c r="K780" s="4"/>
      <c r="L780" s="4"/>
      <c r="M780" s="4"/>
      <c r="N780" s="4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9"/>
      <c r="BJ780" s="19">
        <f t="shared" si="155"/>
        <v>0</v>
      </c>
      <c r="BK780" s="6"/>
      <c r="BL780" s="6"/>
      <c r="BM780" s="6"/>
      <c r="BN780" s="6"/>
      <c r="BO780" s="6"/>
    </row>
    <row r="781" spans="1:67" ht="13.4" customHeight="1">
      <c r="A781" s="6"/>
      <c r="B781" s="6"/>
      <c r="C781" s="6"/>
      <c r="D781" s="6"/>
      <c r="E781" s="6"/>
      <c r="F781" s="6"/>
      <c r="G781" s="6"/>
      <c r="H781" s="4"/>
      <c r="I781" s="4"/>
      <c r="J781" s="4"/>
      <c r="K781" s="4"/>
      <c r="L781" s="4"/>
      <c r="M781" s="4"/>
      <c r="N781" s="4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9"/>
      <c r="BJ781" s="19">
        <f t="shared" si="155"/>
        <v>0</v>
      </c>
      <c r="BK781" s="6"/>
      <c r="BL781" s="6"/>
      <c r="BM781" s="6"/>
      <c r="BN781" s="6"/>
      <c r="BO781" s="6"/>
    </row>
    <row r="782" spans="1:67" ht="13.4" customHeight="1">
      <c r="A782" s="6"/>
      <c r="B782" s="6"/>
      <c r="C782" s="6"/>
      <c r="D782" s="6"/>
      <c r="E782" s="6"/>
      <c r="F782" s="6"/>
      <c r="G782" s="6"/>
      <c r="H782" s="4"/>
      <c r="I782" s="4"/>
      <c r="J782" s="4"/>
      <c r="K782" s="4"/>
      <c r="L782" s="4"/>
      <c r="M782" s="4"/>
      <c r="N782" s="4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9"/>
      <c r="BJ782" s="19">
        <f t="shared" si="155"/>
        <v>0</v>
      </c>
      <c r="BK782" s="6"/>
      <c r="BL782" s="6"/>
      <c r="BM782" s="6"/>
      <c r="BN782" s="6"/>
      <c r="BO782" s="6"/>
    </row>
    <row r="783" spans="1:67" ht="13.4" customHeight="1">
      <c r="A783" s="6"/>
      <c r="B783" s="6"/>
      <c r="C783" s="6"/>
      <c r="D783" s="6"/>
      <c r="E783" s="6"/>
      <c r="F783" s="6"/>
      <c r="G783" s="6"/>
      <c r="H783" s="4"/>
      <c r="I783" s="4"/>
      <c r="J783" s="4"/>
      <c r="K783" s="4"/>
      <c r="L783" s="4"/>
      <c r="M783" s="4"/>
      <c r="N783" s="4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9"/>
      <c r="BJ783" s="19">
        <f t="shared" si="155"/>
        <v>0</v>
      </c>
      <c r="BK783" s="6"/>
      <c r="BL783" s="6"/>
      <c r="BM783" s="6"/>
      <c r="BN783" s="6"/>
      <c r="BO783" s="6"/>
    </row>
    <row r="784" spans="1:67" ht="13.4" customHeight="1">
      <c r="A784" s="6"/>
      <c r="B784" s="6"/>
      <c r="C784" s="6"/>
      <c r="D784" s="6"/>
      <c r="E784" s="6"/>
      <c r="F784" s="6"/>
      <c r="G784" s="6"/>
      <c r="H784" s="4"/>
      <c r="I784" s="4"/>
      <c r="J784" s="4"/>
      <c r="K784" s="4"/>
      <c r="L784" s="4"/>
      <c r="M784" s="4"/>
      <c r="N784" s="4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9"/>
      <c r="BJ784" s="19">
        <f t="shared" si="155"/>
        <v>0</v>
      </c>
      <c r="BK784" s="6"/>
      <c r="BL784" s="6"/>
      <c r="BM784" s="6"/>
      <c r="BN784" s="6"/>
      <c r="BO784" s="6"/>
    </row>
    <row r="785" spans="1:67" ht="13.4" customHeight="1">
      <c r="A785" s="6"/>
      <c r="B785" s="6"/>
      <c r="C785" s="6"/>
      <c r="D785" s="6"/>
      <c r="E785" s="6"/>
      <c r="F785" s="6"/>
      <c r="G785" s="6"/>
      <c r="H785" s="4"/>
      <c r="I785" s="4"/>
      <c r="J785" s="4"/>
      <c r="K785" s="4"/>
      <c r="L785" s="4"/>
      <c r="M785" s="4"/>
      <c r="N785" s="4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9"/>
      <c r="BJ785" s="19">
        <f t="shared" si="155"/>
        <v>0</v>
      </c>
      <c r="BK785" s="6"/>
      <c r="BL785" s="6"/>
      <c r="BM785" s="6"/>
      <c r="BN785" s="6"/>
      <c r="BO785" s="6"/>
    </row>
    <row r="786" spans="1:67" ht="13.4" customHeight="1">
      <c r="A786" s="6"/>
      <c r="B786" s="6"/>
      <c r="C786" s="6"/>
      <c r="D786" s="6"/>
      <c r="E786" s="6"/>
      <c r="F786" s="6"/>
      <c r="G786" s="6"/>
      <c r="H786" s="4"/>
      <c r="I786" s="4"/>
      <c r="J786" s="4"/>
      <c r="K786" s="4"/>
      <c r="L786" s="4"/>
      <c r="M786" s="4"/>
      <c r="N786" s="4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9"/>
      <c r="BJ786" s="19">
        <f t="shared" si="155"/>
        <v>0</v>
      </c>
      <c r="BK786" s="6"/>
      <c r="BL786" s="6"/>
      <c r="BM786" s="6"/>
      <c r="BN786" s="6"/>
      <c r="BO786" s="6"/>
    </row>
    <row r="787" spans="1:67" ht="13.4" customHeight="1">
      <c r="A787" s="6"/>
      <c r="B787" s="6"/>
      <c r="C787" s="6"/>
      <c r="D787" s="6"/>
      <c r="E787" s="6"/>
      <c r="F787" s="6"/>
      <c r="G787" s="6"/>
      <c r="H787" s="4"/>
      <c r="I787" s="4"/>
      <c r="J787" s="4"/>
      <c r="K787" s="4"/>
      <c r="L787" s="4"/>
      <c r="M787" s="4"/>
      <c r="N787" s="4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9"/>
      <c r="BJ787" s="19">
        <f t="shared" si="155"/>
        <v>0</v>
      </c>
      <c r="BK787" s="6"/>
      <c r="BL787" s="6"/>
      <c r="BM787" s="6"/>
      <c r="BN787" s="6"/>
      <c r="BO787" s="6"/>
    </row>
    <row r="788" spans="1:67" ht="13.4" customHeight="1">
      <c r="A788" s="6"/>
      <c r="B788" s="6"/>
      <c r="C788" s="6"/>
      <c r="D788" s="6"/>
      <c r="E788" s="6"/>
      <c r="F788" s="6"/>
      <c r="G788" s="6"/>
      <c r="H788" s="4"/>
      <c r="I788" s="4"/>
      <c r="J788" s="4"/>
      <c r="K788" s="4"/>
      <c r="L788" s="4"/>
      <c r="M788" s="4"/>
      <c r="N788" s="4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9"/>
      <c r="BJ788" s="19">
        <f t="shared" si="155"/>
        <v>0</v>
      </c>
      <c r="BK788" s="6"/>
      <c r="BL788" s="6"/>
      <c r="BM788" s="6"/>
      <c r="BN788" s="6"/>
      <c r="BO788" s="6"/>
    </row>
    <row r="789" spans="1:67" ht="13.4" customHeight="1">
      <c r="A789" s="6"/>
      <c r="B789" s="6"/>
      <c r="C789" s="6"/>
      <c r="D789" s="6"/>
      <c r="E789" s="6"/>
      <c r="F789" s="6"/>
      <c r="G789" s="6"/>
      <c r="H789" s="4"/>
      <c r="I789" s="4"/>
      <c r="J789" s="4"/>
      <c r="K789" s="4"/>
      <c r="L789" s="4"/>
      <c r="M789" s="4"/>
      <c r="N789" s="4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9"/>
      <c r="BJ789" s="19">
        <f t="shared" si="155"/>
        <v>0</v>
      </c>
      <c r="BK789" s="6"/>
      <c r="BL789" s="6"/>
      <c r="BM789" s="6"/>
      <c r="BN789" s="6"/>
      <c r="BO789" s="6"/>
    </row>
    <row r="790" spans="1:67" ht="13.4" customHeight="1">
      <c r="A790" s="6"/>
      <c r="B790" s="6"/>
      <c r="C790" s="6"/>
      <c r="D790" s="6"/>
      <c r="E790" s="6"/>
      <c r="F790" s="6"/>
      <c r="G790" s="6"/>
      <c r="H790" s="4"/>
      <c r="I790" s="4"/>
      <c r="J790" s="4"/>
      <c r="K790" s="4"/>
      <c r="L790" s="4"/>
      <c r="M790" s="4"/>
      <c r="N790" s="4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9"/>
      <c r="BJ790" s="19">
        <f t="shared" si="155"/>
        <v>0</v>
      </c>
      <c r="BK790" s="6"/>
      <c r="BL790" s="6"/>
      <c r="BM790" s="6"/>
      <c r="BN790" s="6"/>
      <c r="BO790" s="6"/>
    </row>
    <row r="791" spans="1:67" ht="13.4" customHeight="1">
      <c r="A791" s="6"/>
      <c r="B791" s="6"/>
      <c r="C791" s="6"/>
      <c r="D791" s="6"/>
      <c r="E791" s="6"/>
      <c r="F791" s="6"/>
      <c r="G791" s="6"/>
      <c r="H791" s="4"/>
      <c r="I791" s="4"/>
      <c r="J791" s="4"/>
      <c r="K791" s="4"/>
      <c r="L791" s="4"/>
      <c r="M791" s="4"/>
      <c r="N791" s="4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9"/>
      <c r="BJ791" s="19">
        <f t="shared" si="155"/>
        <v>0</v>
      </c>
      <c r="BK791" s="6"/>
      <c r="BL791" s="6"/>
      <c r="BM791" s="6"/>
      <c r="BN791" s="6"/>
      <c r="BO791" s="6"/>
    </row>
    <row r="792" spans="1:67" ht="13.4" customHeight="1">
      <c r="A792" s="6"/>
      <c r="B792" s="6"/>
      <c r="C792" s="6"/>
      <c r="D792" s="6"/>
      <c r="E792" s="6"/>
      <c r="F792" s="6"/>
      <c r="G792" s="6"/>
      <c r="H792" s="4"/>
      <c r="I792" s="4"/>
      <c r="J792" s="4"/>
      <c r="K792" s="4"/>
      <c r="L792" s="4"/>
      <c r="M792" s="4"/>
      <c r="N792" s="4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9"/>
      <c r="BJ792" s="19">
        <f t="shared" si="155"/>
        <v>0</v>
      </c>
      <c r="BK792" s="6"/>
      <c r="BL792" s="6"/>
      <c r="BM792" s="6"/>
      <c r="BN792" s="6"/>
      <c r="BO792" s="6"/>
    </row>
    <row r="793" spans="1:67" ht="13.4" customHeight="1">
      <c r="A793" s="6"/>
      <c r="B793" s="6"/>
      <c r="C793" s="6"/>
      <c r="D793" s="6"/>
      <c r="E793" s="6"/>
      <c r="F793" s="6"/>
      <c r="G793" s="6"/>
      <c r="H793" s="4"/>
      <c r="I793" s="4"/>
      <c r="J793" s="4"/>
      <c r="K793" s="4"/>
      <c r="L793" s="4"/>
      <c r="M793" s="4"/>
      <c r="N793" s="4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9"/>
      <c r="BJ793" s="19">
        <f t="shared" si="155"/>
        <v>0</v>
      </c>
      <c r="BK793" s="6"/>
      <c r="BL793" s="6"/>
      <c r="BM793" s="6"/>
      <c r="BN793" s="6"/>
      <c r="BO793" s="6"/>
    </row>
    <row r="794" spans="1:67" ht="13.4" customHeight="1">
      <c r="A794" s="6"/>
      <c r="B794" s="6"/>
      <c r="C794" s="6"/>
      <c r="D794" s="6"/>
      <c r="E794" s="6"/>
      <c r="F794" s="6"/>
      <c r="G794" s="6"/>
      <c r="H794" s="4"/>
      <c r="I794" s="4"/>
      <c r="J794" s="4"/>
      <c r="K794" s="4"/>
      <c r="L794" s="4"/>
      <c r="M794" s="4"/>
      <c r="N794" s="4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9"/>
      <c r="BJ794" s="19">
        <f t="shared" si="155"/>
        <v>0</v>
      </c>
      <c r="BK794" s="6"/>
      <c r="BL794" s="6"/>
      <c r="BM794" s="6"/>
      <c r="BN794" s="6"/>
      <c r="BO794" s="6"/>
    </row>
    <row r="795" spans="1:67" ht="13.4" customHeight="1">
      <c r="A795" s="6"/>
      <c r="B795" s="6"/>
      <c r="C795" s="6"/>
      <c r="D795" s="6"/>
      <c r="E795" s="6"/>
      <c r="F795" s="6"/>
      <c r="G795" s="6"/>
      <c r="H795" s="4"/>
      <c r="I795" s="4"/>
      <c r="J795" s="4"/>
      <c r="K795" s="4"/>
      <c r="L795" s="4"/>
      <c r="M795" s="4"/>
      <c r="N795" s="4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9"/>
      <c r="BJ795" s="19">
        <f t="shared" si="155"/>
        <v>0</v>
      </c>
      <c r="BK795" s="6"/>
      <c r="BL795" s="6"/>
      <c r="BM795" s="6"/>
      <c r="BN795" s="6"/>
      <c r="BO795" s="6"/>
    </row>
    <row r="796" spans="1:67" ht="13.4" customHeight="1">
      <c r="A796" s="6"/>
      <c r="B796" s="6"/>
      <c r="C796" s="6"/>
      <c r="D796" s="6"/>
      <c r="E796" s="6"/>
      <c r="F796" s="6"/>
      <c r="G796" s="6"/>
      <c r="H796" s="4"/>
      <c r="I796" s="4"/>
      <c r="J796" s="4"/>
      <c r="K796" s="4"/>
      <c r="L796" s="4"/>
      <c r="M796" s="4"/>
      <c r="N796" s="4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9"/>
      <c r="BJ796" s="19">
        <f t="shared" si="155"/>
        <v>0</v>
      </c>
      <c r="BK796" s="6"/>
      <c r="BL796" s="6"/>
      <c r="BM796" s="6"/>
      <c r="BN796" s="6"/>
      <c r="BO796" s="6"/>
    </row>
    <row r="797" spans="1:67" ht="13.4" customHeight="1">
      <c r="A797" s="6"/>
      <c r="B797" s="6"/>
      <c r="C797" s="6"/>
      <c r="D797" s="6"/>
      <c r="E797" s="6"/>
      <c r="F797" s="6"/>
      <c r="G797" s="6"/>
      <c r="H797" s="4"/>
      <c r="I797" s="4"/>
      <c r="J797" s="4"/>
      <c r="K797" s="4"/>
      <c r="L797" s="4"/>
      <c r="M797" s="4"/>
      <c r="N797" s="4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9"/>
      <c r="BJ797" s="19">
        <f t="shared" si="155"/>
        <v>0</v>
      </c>
      <c r="BK797" s="6"/>
      <c r="BL797" s="6"/>
      <c r="BM797" s="6"/>
      <c r="BN797" s="6"/>
      <c r="BO797" s="6"/>
    </row>
    <row r="798" spans="1:67" ht="13.4" customHeight="1">
      <c r="A798" s="6"/>
      <c r="B798" s="6"/>
      <c r="C798" s="6"/>
      <c r="D798" s="6"/>
      <c r="E798" s="6"/>
      <c r="F798" s="6"/>
      <c r="G798" s="6"/>
      <c r="H798" s="4"/>
      <c r="I798" s="4"/>
      <c r="J798" s="4"/>
      <c r="K798" s="4"/>
      <c r="L798" s="4"/>
      <c r="M798" s="4"/>
      <c r="N798" s="4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9"/>
      <c r="BJ798" s="19">
        <f t="shared" si="155"/>
        <v>0</v>
      </c>
      <c r="BK798" s="6"/>
      <c r="BL798" s="6"/>
      <c r="BM798" s="6"/>
      <c r="BN798" s="6"/>
      <c r="BO798" s="6"/>
    </row>
    <row r="799" spans="1:67" ht="13.4" customHeight="1">
      <c r="A799" s="6"/>
      <c r="B799" s="6"/>
      <c r="C799" s="6"/>
      <c r="D799" s="6"/>
      <c r="E799" s="6"/>
      <c r="F799" s="6"/>
      <c r="G799" s="6"/>
      <c r="H799" s="4"/>
      <c r="I799" s="4"/>
      <c r="J799" s="4"/>
      <c r="K799" s="4"/>
      <c r="L799" s="4"/>
      <c r="M799" s="4"/>
      <c r="N799" s="4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9"/>
      <c r="BJ799" s="19">
        <f t="shared" si="155"/>
        <v>0</v>
      </c>
      <c r="BK799" s="6"/>
      <c r="BL799" s="6"/>
      <c r="BM799" s="6"/>
      <c r="BN799" s="6"/>
      <c r="BO799" s="6"/>
    </row>
    <row r="800" spans="1:67" ht="13.4" customHeight="1">
      <c r="A800" s="6"/>
      <c r="B800" s="6"/>
      <c r="C800" s="6"/>
      <c r="D800" s="6"/>
      <c r="E800" s="6"/>
      <c r="F800" s="6"/>
      <c r="G800" s="6"/>
      <c r="H800" s="4"/>
      <c r="I800" s="4"/>
      <c r="J800" s="4"/>
      <c r="K800" s="4"/>
      <c r="L800" s="4"/>
      <c r="M800" s="4"/>
      <c r="N800" s="4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9"/>
      <c r="BJ800" s="19">
        <f t="shared" si="155"/>
        <v>0</v>
      </c>
      <c r="BK800" s="6"/>
      <c r="BL800" s="6"/>
      <c r="BM800" s="6"/>
      <c r="BN800" s="6"/>
      <c r="BO800" s="6"/>
    </row>
    <row r="801" spans="1:67" ht="13.4" customHeight="1">
      <c r="A801" s="6"/>
      <c r="B801" s="6"/>
      <c r="C801" s="6"/>
      <c r="D801" s="6"/>
      <c r="E801" s="6"/>
      <c r="F801" s="6"/>
      <c r="G801" s="6"/>
      <c r="H801" s="4"/>
      <c r="I801" s="4"/>
      <c r="J801" s="4"/>
      <c r="K801" s="4"/>
      <c r="L801" s="4"/>
      <c r="M801" s="4"/>
      <c r="N801" s="4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9"/>
      <c r="BJ801" s="19">
        <f t="shared" si="155"/>
        <v>0</v>
      </c>
      <c r="BK801" s="6"/>
      <c r="BL801" s="6"/>
      <c r="BM801" s="6"/>
      <c r="BN801" s="6"/>
      <c r="BO801" s="6"/>
    </row>
    <row r="802" spans="1:67" ht="13.4" customHeight="1">
      <c r="A802" s="6"/>
      <c r="B802" s="6"/>
      <c r="C802" s="6"/>
      <c r="D802" s="6"/>
      <c r="E802" s="6"/>
      <c r="F802" s="6"/>
      <c r="G802" s="6"/>
      <c r="H802" s="4"/>
      <c r="I802" s="4"/>
      <c r="J802" s="4"/>
      <c r="K802" s="4"/>
      <c r="L802" s="4"/>
      <c r="M802" s="4"/>
      <c r="N802" s="4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9"/>
      <c r="BJ802" s="19">
        <f t="shared" si="155"/>
        <v>0</v>
      </c>
      <c r="BK802" s="6"/>
      <c r="BL802" s="6"/>
      <c r="BM802" s="6"/>
      <c r="BN802" s="6"/>
      <c r="BO802" s="6"/>
    </row>
    <row r="803" spans="1:67" ht="13.4" customHeight="1">
      <c r="A803" s="6"/>
      <c r="B803" s="6"/>
      <c r="C803" s="6"/>
      <c r="D803" s="6"/>
      <c r="E803" s="6"/>
      <c r="F803" s="6"/>
      <c r="G803" s="6"/>
      <c r="H803" s="4"/>
      <c r="I803" s="4"/>
      <c r="J803" s="4"/>
      <c r="K803" s="4"/>
      <c r="L803" s="4"/>
      <c r="M803" s="4"/>
      <c r="N803" s="4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9"/>
      <c r="BJ803" s="19">
        <f t="shared" si="155"/>
        <v>0</v>
      </c>
      <c r="BK803" s="6"/>
      <c r="BL803" s="6"/>
      <c r="BM803" s="6"/>
      <c r="BN803" s="6"/>
      <c r="BO803" s="6"/>
    </row>
    <row r="804" spans="1:67" ht="13.4" customHeight="1">
      <c r="A804" s="6"/>
      <c r="B804" s="6"/>
      <c r="C804" s="6"/>
      <c r="D804" s="6"/>
      <c r="E804" s="6"/>
      <c r="F804" s="6"/>
      <c r="G804" s="6"/>
      <c r="H804" s="4"/>
      <c r="I804" s="4"/>
      <c r="J804" s="4"/>
      <c r="K804" s="4"/>
      <c r="L804" s="4"/>
      <c r="M804" s="4"/>
      <c r="N804" s="4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9"/>
      <c r="BJ804" s="19">
        <f t="shared" si="155"/>
        <v>0</v>
      </c>
      <c r="BK804" s="6"/>
      <c r="BL804" s="6"/>
      <c r="BM804" s="6"/>
      <c r="BN804" s="6"/>
      <c r="BO804" s="6"/>
    </row>
    <row r="805" spans="1:67" ht="13.4" customHeight="1">
      <c r="A805" s="6"/>
      <c r="B805" s="6"/>
      <c r="C805" s="6"/>
      <c r="D805" s="6"/>
      <c r="E805" s="6"/>
      <c r="F805" s="6"/>
      <c r="G805" s="6"/>
      <c r="H805" s="4"/>
      <c r="I805" s="4"/>
      <c r="J805" s="4"/>
      <c r="K805" s="4"/>
      <c r="L805" s="4"/>
      <c r="M805" s="4"/>
      <c r="N805" s="4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9"/>
      <c r="BJ805" s="19">
        <f t="shared" si="155"/>
        <v>0</v>
      </c>
      <c r="BK805" s="6"/>
      <c r="BL805" s="6"/>
      <c r="BM805" s="6"/>
      <c r="BN805" s="6"/>
      <c r="BO805" s="6"/>
    </row>
    <row r="806" spans="1:67" ht="13.4" customHeight="1">
      <c r="A806" s="6"/>
      <c r="B806" s="6"/>
      <c r="C806" s="6"/>
      <c r="D806" s="6"/>
      <c r="E806" s="6"/>
      <c r="F806" s="6"/>
      <c r="G806" s="6"/>
      <c r="H806" s="4"/>
      <c r="I806" s="4"/>
      <c r="J806" s="4"/>
      <c r="K806" s="4"/>
      <c r="L806" s="4"/>
      <c r="M806" s="4"/>
      <c r="N806" s="4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9"/>
      <c r="BJ806" s="19">
        <f t="shared" si="155"/>
        <v>0</v>
      </c>
      <c r="BK806" s="6"/>
      <c r="BL806" s="6"/>
      <c r="BM806" s="6"/>
      <c r="BN806" s="6"/>
      <c r="BO806" s="6"/>
    </row>
    <row r="807" spans="1:67" ht="13.4" customHeight="1">
      <c r="A807" s="6"/>
      <c r="B807" s="6"/>
      <c r="C807" s="6"/>
      <c r="D807" s="6"/>
      <c r="E807" s="6"/>
      <c r="F807" s="6"/>
      <c r="G807" s="6"/>
      <c r="H807" s="4"/>
      <c r="I807" s="4"/>
      <c r="J807" s="4"/>
      <c r="K807" s="4"/>
      <c r="L807" s="4"/>
      <c r="M807" s="4"/>
      <c r="N807" s="4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9"/>
      <c r="BJ807" s="19">
        <f t="shared" si="155"/>
        <v>0</v>
      </c>
      <c r="BK807" s="6"/>
      <c r="BL807" s="6"/>
      <c r="BM807" s="6"/>
      <c r="BN807" s="6"/>
      <c r="BO807" s="6"/>
    </row>
    <row r="808" spans="1:67" ht="13.4" customHeight="1">
      <c r="A808" s="6"/>
      <c r="B808" s="6"/>
      <c r="C808" s="6"/>
      <c r="D808" s="6"/>
      <c r="E808" s="6"/>
      <c r="F808" s="6"/>
      <c r="G808" s="6"/>
      <c r="H808" s="4"/>
      <c r="I808" s="4"/>
      <c r="J808" s="4"/>
      <c r="K808" s="4"/>
      <c r="L808" s="4"/>
      <c r="M808" s="4"/>
      <c r="N808" s="4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9"/>
      <c r="BJ808" s="19">
        <f t="shared" si="155"/>
        <v>0</v>
      </c>
      <c r="BK808" s="6"/>
      <c r="BL808" s="6"/>
      <c r="BM808" s="6"/>
      <c r="BN808" s="6"/>
      <c r="BO808" s="6"/>
    </row>
    <row r="809" spans="1:67" ht="13.4" customHeight="1">
      <c r="A809" s="6"/>
      <c r="B809" s="6"/>
      <c r="C809" s="6"/>
      <c r="D809" s="6"/>
      <c r="E809" s="6"/>
      <c r="F809" s="6"/>
      <c r="G809" s="6"/>
      <c r="H809" s="4"/>
      <c r="I809" s="4"/>
      <c r="J809" s="4"/>
      <c r="K809" s="4"/>
      <c r="L809" s="4"/>
      <c r="M809" s="4"/>
      <c r="N809" s="4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9"/>
      <c r="BJ809" s="19">
        <f t="shared" si="155"/>
        <v>0</v>
      </c>
      <c r="BK809" s="6"/>
      <c r="BL809" s="6"/>
      <c r="BM809" s="6"/>
      <c r="BN809" s="6"/>
      <c r="BO809" s="6"/>
    </row>
    <row r="810" spans="1:67" ht="13.4" customHeight="1">
      <c r="A810" s="6"/>
      <c r="B810" s="6"/>
      <c r="C810" s="6"/>
      <c r="D810" s="6"/>
      <c r="E810" s="6"/>
      <c r="F810" s="6"/>
      <c r="G810" s="6"/>
      <c r="H810" s="4"/>
      <c r="I810" s="4"/>
      <c r="J810" s="4"/>
      <c r="K810" s="4"/>
      <c r="L810" s="4"/>
      <c r="M810" s="4"/>
      <c r="N810" s="4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9"/>
      <c r="BJ810" s="19">
        <f t="shared" si="155"/>
        <v>0</v>
      </c>
      <c r="BK810" s="6"/>
      <c r="BL810" s="6"/>
      <c r="BM810" s="6"/>
      <c r="BN810" s="6"/>
      <c r="BO810" s="6"/>
    </row>
    <row r="811" spans="1:67" ht="13.4" customHeight="1">
      <c r="A811" s="6"/>
      <c r="B811" s="6"/>
      <c r="C811" s="6"/>
      <c r="D811" s="6"/>
      <c r="E811" s="6"/>
      <c r="F811" s="6"/>
      <c r="G811" s="6"/>
      <c r="H811" s="4"/>
      <c r="I811" s="4"/>
      <c r="J811" s="4"/>
      <c r="K811" s="4"/>
      <c r="L811" s="4"/>
      <c r="M811" s="4"/>
      <c r="N811" s="4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9"/>
      <c r="BJ811" s="19">
        <f t="shared" si="155"/>
        <v>0</v>
      </c>
      <c r="BK811" s="6"/>
      <c r="BL811" s="6"/>
      <c r="BM811" s="6"/>
      <c r="BN811" s="6"/>
      <c r="BO811" s="6"/>
    </row>
    <row r="812" spans="1:67" ht="13.4" customHeight="1">
      <c r="A812" s="6"/>
      <c r="B812" s="6"/>
      <c r="C812" s="6"/>
      <c r="D812" s="6"/>
      <c r="E812" s="6"/>
      <c r="F812" s="6"/>
      <c r="G812" s="6"/>
      <c r="H812" s="4"/>
      <c r="I812" s="4"/>
      <c r="J812" s="4"/>
      <c r="K812" s="4"/>
      <c r="L812" s="4"/>
      <c r="M812" s="4"/>
      <c r="N812" s="4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9"/>
      <c r="BJ812" s="19">
        <f t="shared" si="155"/>
        <v>0</v>
      </c>
      <c r="BK812" s="6"/>
      <c r="BL812" s="6"/>
      <c r="BM812" s="6"/>
      <c r="BN812" s="6"/>
      <c r="BO812" s="6"/>
    </row>
    <row r="813" spans="1:67" ht="13.4" customHeight="1">
      <c r="A813" s="6"/>
      <c r="B813" s="6"/>
      <c r="C813" s="6"/>
      <c r="D813" s="6"/>
      <c r="E813" s="6"/>
      <c r="F813" s="6"/>
      <c r="G813" s="6"/>
      <c r="H813" s="4"/>
      <c r="I813" s="4"/>
      <c r="J813" s="4"/>
      <c r="K813" s="4"/>
      <c r="L813" s="4"/>
      <c r="M813" s="4"/>
      <c r="N813" s="4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9"/>
      <c r="BJ813" s="19">
        <f t="shared" si="155"/>
        <v>0</v>
      </c>
      <c r="BK813" s="6"/>
      <c r="BL813" s="6"/>
      <c r="BM813" s="6"/>
      <c r="BN813" s="6"/>
      <c r="BO813" s="6"/>
    </row>
    <row r="814" spans="1:67" ht="13.4" customHeight="1">
      <c r="A814" s="6"/>
      <c r="B814" s="6"/>
      <c r="C814" s="6"/>
      <c r="D814" s="6"/>
      <c r="E814" s="6"/>
      <c r="F814" s="6"/>
      <c r="G814" s="6"/>
      <c r="H814" s="4"/>
      <c r="I814" s="4"/>
      <c r="J814" s="4"/>
      <c r="K814" s="4"/>
      <c r="L814" s="4"/>
      <c r="M814" s="4"/>
      <c r="N814" s="4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9"/>
      <c r="BJ814" s="19">
        <f t="shared" si="155"/>
        <v>0</v>
      </c>
      <c r="BK814" s="6"/>
      <c r="BL814" s="6"/>
      <c r="BM814" s="6"/>
      <c r="BN814" s="6"/>
      <c r="BO814" s="6"/>
    </row>
    <row r="815" spans="1:67" ht="13.4" customHeight="1">
      <c r="A815" s="6"/>
      <c r="B815" s="6"/>
      <c r="C815" s="6"/>
      <c r="D815" s="6"/>
      <c r="E815" s="6"/>
      <c r="F815" s="6"/>
      <c r="G815" s="6"/>
      <c r="H815" s="4"/>
      <c r="I815" s="4"/>
      <c r="J815" s="4"/>
      <c r="K815" s="4"/>
      <c r="L815" s="4"/>
      <c r="M815" s="4"/>
      <c r="N815" s="4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9"/>
      <c r="BJ815" s="19">
        <f t="shared" si="155"/>
        <v>0</v>
      </c>
      <c r="BK815" s="6"/>
      <c r="BL815" s="6"/>
      <c r="BM815" s="6"/>
      <c r="BN815" s="6"/>
      <c r="BO815" s="6"/>
    </row>
    <row r="816" spans="1:67" ht="13.4" customHeight="1">
      <c r="A816" s="6"/>
      <c r="B816" s="6"/>
      <c r="C816" s="6"/>
      <c r="D816" s="6"/>
      <c r="E816" s="6"/>
      <c r="F816" s="6"/>
      <c r="G816" s="6"/>
      <c r="H816" s="4"/>
      <c r="I816" s="4"/>
      <c r="J816" s="4"/>
      <c r="K816" s="4"/>
      <c r="L816" s="4"/>
      <c r="M816" s="4"/>
      <c r="N816" s="4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9"/>
      <c r="BJ816" s="19">
        <f t="shared" si="155"/>
        <v>0</v>
      </c>
      <c r="BK816" s="6"/>
      <c r="BL816" s="6"/>
      <c r="BM816" s="6"/>
      <c r="BN816" s="6"/>
      <c r="BO816" s="6"/>
    </row>
    <row r="817" spans="1:67" ht="13.4" customHeight="1">
      <c r="A817" s="6"/>
      <c r="B817" s="6"/>
      <c r="C817" s="6"/>
      <c r="D817" s="6"/>
      <c r="E817" s="6"/>
      <c r="F817" s="6"/>
      <c r="G817" s="6"/>
      <c r="H817" s="4"/>
      <c r="I817" s="4"/>
      <c r="J817" s="4"/>
      <c r="K817" s="4"/>
      <c r="L817" s="4"/>
      <c r="M817" s="4"/>
      <c r="N817" s="4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9"/>
      <c r="BJ817" s="19">
        <f t="shared" si="155"/>
        <v>0</v>
      </c>
      <c r="BK817" s="6"/>
      <c r="BL817" s="6"/>
      <c r="BM817" s="6"/>
      <c r="BN817" s="6"/>
      <c r="BO817" s="6"/>
    </row>
    <row r="818" spans="1:67" ht="13.4" customHeight="1">
      <c r="A818" s="6"/>
      <c r="B818" s="6"/>
      <c r="C818" s="6"/>
      <c r="D818" s="6"/>
      <c r="E818" s="6"/>
      <c r="F818" s="6"/>
      <c r="G818" s="6"/>
      <c r="H818" s="4"/>
      <c r="I818" s="4"/>
      <c r="J818" s="4"/>
      <c r="K818" s="4"/>
      <c r="L818" s="4"/>
      <c r="M818" s="4"/>
      <c r="N818" s="4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9"/>
      <c r="BJ818" s="19">
        <f t="shared" si="155"/>
        <v>0</v>
      </c>
      <c r="BK818" s="6"/>
      <c r="BL818" s="6"/>
      <c r="BM818" s="6"/>
      <c r="BN818" s="6"/>
      <c r="BO818" s="6"/>
    </row>
    <row r="819" spans="1:67" ht="13.4" customHeight="1">
      <c r="A819" s="6"/>
      <c r="B819" s="6"/>
      <c r="C819" s="6"/>
      <c r="D819" s="6"/>
      <c r="E819" s="6"/>
      <c r="F819" s="6"/>
      <c r="G819" s="6"/>
      <c r="H819" s="4"/>
      <c r="I819" s="4"/>
      <c r="J819" s="4"/>
      <c r="K819" s="4"/>
      <c r="L819" s="4"/>
      <c r="M819" s="4"/>
      <c r="N819" s="4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9"/>
      <c r="BJ819" s="19">
        <f t="shared" si="155"/>
        <v>0</v>
      </c>
      <c r="BK819" s="6"/>
      <c r="BL819" s="6"/>
      <c r="BM819" s="6"/>
      <c r="BN819" s="6"/>
      <c r="BO819" s="6"/>
    </row>
    <row r="820" spans="1:67" ht="13.4" customHeight="1">
      <c r="A820" s="6"/>
      <c r="B820" s="6"/>
      <c r="C820" s="6"/>
      <c r="D820" s="6"/>
      <c r="E820" s="6"/>
      <c r="F820" s="6"/>
      <c r="G820" s="6"/>
      <c r="H820" s="4"/>
      <c r="I820" s="4"/>
      <c r="J820" s="4"/>
      <c r="K820" s="4"/>
      <c r="L820" s="4"/>
      <c r="M820" s="4"/>
      <c r="N820" s="4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9"/>
      <c r="BJ820" s="19">
        <f t="shared" si="155"/>
        <v>0</v>
      </c>
      <c r="BK820" s="6"/>
      <c r="BL820" s="6"/>
      <c r="BM820" s="6"/>
      <c r="BN820" s="6"/>
      <c r="BO820" s="6"/>
    </row>
    <row r="821" spans="1:67" ht="13.4" customHeight="1">
      <c r="A821" s="6"/>
      <c r="B821" s="6"/>
      <c r="C821" s="6"/>
      <c r="D821" s="6"/>
      <c r="E821" s="6"/>
      <c r="F821" s="6"/>
      <c r="G821" s="6"/>
      <c r="H821" s="4"/>
      <c r="I821" s="4"/>
      <c r="J821" s="4"/>
      <c r="K821" s="4"/>
      <c r="L821" s="4"/>
      <c r="M821" s="4"/>
      <c r="N821" s="4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9"/>
      <c r="BJ821" s="19">
        <f t="shared" si="155"/>
        <v>0</v>
      </c>
      <c r="BK821" s="6"/>
      <c r="BL821" s="6"/>
      <c r="BM821" s="6"/>
      <c r="BN821" s="6"/>
      <c r="BO821" s="6"/>
    </row>
    <row r="822" spans="1:67" ht="13.4" customHeight="1">
      <c r="A822" s="6"/>
      <c r="B822" s="6"/>
      <c r="C822" s="6"/>
      <c r="D822" s="6"/>
      <c r="E822" s="6"/>
      <c r="F822" s="6"/>
      <c r="G822" s="6"/>
      <c r="H822" s="4"/>
      <c r="I822" s="4"/>
      <c r="J822" s="4"/>
      <c r="K822" s="4"/>
      <c r="L822" s="4"/>
      <c r="M822" s="4"/>
      <c r="N822" s="4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9"/>
      <c r="BJ822" s="19">
        <f t="shared" si="155"/>
        <v>0</v>
      </c>
      <c r="BK822" s="6"/>
      <c r="BL822" s="6"/>
      <c r="BM822" s="6"/>
      <c r="BN822" s="6"/>
      <c r="BO822" s="6"/>
    </row>
    <row r="823" spans="1:67" ht="13.4" customHeight="1">
      <c r="A823" s="6"/>
      <c r="B823" s="6"/>
      <c r="C823" s="6"/>
      <c r="D823" s="6"/>
      <c r="E823" s="6"/>
      <c r="F823" s="6"/>
      <c r="G823" s="6"/>
      <c r="H823" s="4"/>
      <c r="I823" s="4"/>
      <c r="J823" s="4"/>
      <c r="K823" s="4"/>
      <c r="L823" s="4"/>
      <c r="M823" s="4"/>
      <c r="N823" s="4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9"/>
      <c r="BJ823" s="19">
        <f t="shared" si="155"/>
        <v>0</v>
      </c>
      <c r="BK823" s="6"/>
      <c r="BL823" s="6"/>
      <c r="BM823" s="6"/>
      <c r="BN823" s="6"/>
      <c r="BO823" s="6"/>
    </row>
    <row r="824" spans="1:67" ht="13.4" customHeight="1">
      <c r="A824" s="6"/>
      <c r="B824" s="6"/>
      <c r="C824" s="6"/>
      <c r="D824" s="6"/>
      <c r="E824" s="6"/>
      <c r="F824" s="6"/>
      <c r="G824" s="6"/>
      <c r="H824" s="4"/>
      <c r="I824" s="4"/>
      <c r="J824" s="4"/>
      <c r="K824" s="4"/>
      <c r="L824" s="4"/>
      <c r="M824" s="4"/>
      <c r="N824" s="4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9"/>
      <c r="BJ824" s="19">
        <f t="shared" si="155"/>
        <v>0</v>
      </c>
      <c r="BK824" s="6"/>
      <c r="BL824" s="6"/>
      <c r="BM824" s="6"/>
      <c r="BN824" s="6"/>
      <c r="BO824" s="6"/>
    </row>
    <row r="825" spans="1:67" ht="13.4" customHeight="1">
      <c r="A825" s="6"/>
      <c r="B825" s="6"/>
      <c r="C825" s="6"/>
      <c r="D825" s="6"/>
      <c r="E825" s="6"/>
      <c r="F825" s="6"/>
      <c r="G825" s="6"/>
      <c r="H825" s="4"/>
      <c r="I825" s="4"/>
      <c r="J825" s="4"/>
      <c r="K825" s="4"/>
      <c r="L825" s="4"/>
      <c r="M825" s="4"/>
      <c r="N825" s="4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9"/>
      <c r="BJ825" s="19">
        <f t="shared" si="155"/>
        <v>0</v>
      </c>
      <c r="BK825" s="6"/>
      <c r="BL825" s="6"/>
      <c r="BM825" s="6"/>
      <c r="BN825" s="6"/>
      <c r="BO825" s="6"/>
    </row>
    <row r="826" spans="1:67" ht="13.4" customHeight="1">
      <c r="A826" s="6"/>
      <c r="B826" s="6"/>
      <c r="C826" s="6"/>
      <c r="D826" s="6"/>
      <c r="E826" s="6"/>
      <c r="F826" s="6"/>
      <c r="G826" s="6"/>
      <c r="H826" s="4"/>
      <c r="I826" s="4"/>
      <c r="J826" s="4"/>
      <c r="K826" s="4"/>
      <c r="L826" s="4"/>
      <c r="M826" s="4"/>
      <c r="N826" s="4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9"/>
      <c r="BJ826" s="19">
        <f t="shared" si="155"/>
        <v>0</v>
      </c>
      <c r="BK826" s="6"/>
      <c r="BL826" s="6"/>
      <c r="BM826" s="6"/>
      <c r="BN826" s="6"/>
      <c r="BO826" s="6"/>
    </row>
    <row r="827" spans="1:67" ht="13.4" customHeight="1">
      <c r="A827" s="6"/>
      <c r="B827" s="6"/>
      <c r="C827" s="6"/>
      <c r="D827" s="6"/>
      <c r="E827" s="6"/>
      <c r="F827" s="6"/>
      <c r="G827" s="6"/>
      <c r="H827" s="4"/>
      <c r="I827" s="4"/>
      <c r="J827" s="4"/>
      <c r="K827" s="4"/>
      <c r="L827" s="4"/>
      <c r="M827" s="4"/>
      <c r="N827" s="4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9"/>
      <c r="BJ827" s="19">
        <f t="shared" si="155"/>
        <v>0</v>
      </c>
      <c r="BK827" s="6"/>
      <c r="BL827" s="6"/>
      <c r="BM827" s="6"/>
      <c r="BN827" s="6"/>
      <c r="BO827" s="6"/>
    </row>
    <row r="828" spans="1:67" ht="13.4" customHeight="1">
      <c r="A828" s="6"/>
      <c r="B828" s="6"/>
      <c r="C828" s="6"/>
      <c r="D828" s="6"/>
      <c r="E828" s="6"/>
      <c r="F828" s="6"/>
      <c r="G828" s="6"/>
      <c r="H828" s="4"/>
      <c r="I828" s="4"/>
      <c r="J828" s="4"/>
      <c r="K828" s="4"/>
      <c r="L828" s="4"/>
      <c r="M828" s="4"/>
      <c r="N828" s="4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9"/>
      <c r="BJ828" s="19">
        <f t="shared" si="155"/>
        <v>0</v>
      </c>
      <c r="BK828" s="6"/>
      <c r="BL828" s="6"/>
      <c r="BM828" s="6"/>
      <c r="BN828" s="6"/>
      <c r="BO828" s="6"/>
    </row>
    <row r="829" spans="1:67" ht="13.4" customHeight="1">
      <c r="A829" s="6"/>
      <c r="B829" s="6"/>
      <c r="C829" s="6"/>
      <c r="D829" s="6"/>
      <c r="E829" s="6"/>
      <c r="F829" s="6"/>
      <c r="G829" s="6"/>
      <c r="H829" s="4"/>
      <c r="I829" s="4"/>
      <c r="J829" s="4"/>
      <c r="K829" s="4"/>
      <c r="L829" s="4"/>
      <c r="M829" s="4"/>
      <c r="N829" s="4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9"/>
      <c r="BJ829" s="19">
        <f t="shared" si="155"/>
        <v>0</v>
      </c>
      <c r="BK829" s="6"/>
      <c r="BL829" s="6"/>
      <c r="BM829" s="6"/>
      <c r="BN829" s="6"/>
      <c r="BO829" s="6"/>
    </row>
    <row r="830" spans="1:67" ht="13.4" customHeight="1">
      <c r="A830" s="6"/>
      <c r="B830" s="6"/>
      <c r="C830" s="6"/>
      <c r="D830" s="6"/>
      <c r="E830" s="6"/>
      <c r="F830" s="6"/>
      <c r="G830" s="6"/>
      <c r="H830" s="4"/>
      <c r="I830" s="4"/>
      <c r="J830" s="4"/>
      <c r="K830" s="4"/>
      <c r="L830" s="4"/>
      <c r="M830" s="4"/>
      <c r="N830" s="4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9"/>
      <c r="BJ830" s="19">
        <f t="shared" si="155"/>
        <v>0</v>
      </c>
      <c r="BK830" s="6"/>
      <c r="BL830" s="6"/>
      <c r="BM830" s="6"/>
      <c r="BN830" s="6"/>
      <c r="BO830" s="6"/>
    </row>
    <row r="831" spans="1:67" ht="13.4" customHeight="1">
      <c r="A831" s="6"/>
      <c r="B831" s="6"/>
      <c r="C831" s="6"/>
      <c r="D831" s="6"/>
      <c r="E831" s="6"/>
      <c r="F831" s="6"/>
      <c r="G831" s="6"/>
      <c r="H831" s="4"/>
      <c r="I831" s="4"/>
      <c r="J831" s="4"/>
      <c r="K831" s="4"/>
      <c r="L831" s="4"/>
      <c r="M831" s="4"/>
      <c r="N831" s="4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9"/>
      <c r="BJ831" s="19">
        <f t="shared" si="155"/>
        <v>0</v>
      </c>
      <c r="BK831" s="6"/>
      <c r="BL831" s="6"/>
      <c r="BM831" s="6"/>
      <c r="BN831" s="6"/>
      <c r="BO831" s="6"/>
    </row>
    <row r="832" spans="1:67" ht="13.4" customHeight="1">
      <c r="A832" s="6"/>
      <c r="B832" s="6"/>
      <c r="C832" s="6"/>
      <c r="D832" s="6"/>
      <c r="E832" s="6"/>
      <c r="F832" s="6"/>
      <c r="G832" s="6"/>
      <c r="H832" s="4"/>
      <c r="I832" s="4"/>
      <c r="J832" s="4"/>
      <c r="K832" s="4"/>
      <c r="L832" s="4"/>
      <c r="M832" s="4"/>
      <c r="N832" s="4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9"/>
      <c r="BJ832" s="19">
        <f t="shared" si="155"/>
        <v>0</v>
      </c>
      <c r="BK832" s="6"/>
      <c r="BL832" s="6"/>
      <c r="BM832" s="6"/>
      <c r="BN832" s="6"/>
      <c r="BO832" s="6"/>
    </row>
    <row r="833" spans="1:67" ht="13.4" customHeight="1">
      <c r="A833" s="6"/>
      <c r="B833" s="6"/>
      <c r="C833" s="6"/>
      <c r="D833" s="6"/>
      <c r="E833" s="6"/>
      <c r="F833" s="6"/>
      <c r="G833" s="6"/>
      <c r="H833" s="4"/>
      <c r="I833" s="4"/>
      <c r="J833" s="4"/>
      <c r="K833" s="4"/>
      <c r="L833" s="4"/>
      <c r="M833" s="4"/>
      <c r="N833" s="4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9"/>
      <c r="BJ833" s="19">
        <f t="shared" si="155"/>
        <v>0</v>
      </c>
      <c r="BK833" s="6"/>
      <c r="BL833" s="6"/>
      <c r="BM833" s="6"/>
      <c r="BN833" s="6"/>
      <c r="BO833" s="6"/>
    </row>
    <row r="834" spans="1:67" ht="13.4" customHeight="1">
      <c r="A834" s="6"/>
      <c r="B834" s="6"/>
      <c r="C834" s="6"/>
      <c r="D834" s="6"/>
      <c r="E834" s="6"/>
      <c r="F834" s="6"/>
      <c r="G834" s="6"/>
      <c r="H834" s="4"/>
      <c r="I834" s="4"/>
      <c r="J834" s="4"/>
      <c r="K834" s="4"/>
      <c r="L834" s="4"/>
      <c r="M834" s="4"/>
      <c r="N834" s="4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9"/>
      <c r="BJ834" s="19">
        <f t="shared" si="155"/>
        <v>0</v>
      </c>
      <c r="BK834" s="6"/>
      <c r="BL834" s="6"/>
      <c r="BM834" s="6"/>
      <c r="BN834" s="6"/>
      <c r="BO834" s="6"/>
    </row>
    <row r="835" spans="1:67" ht="13.4" customHeight="1">
      <c r="A835" s="6"/>
      <c r="B835" s="6"/>
      <c r="C835" s="6"/>
      <c r="D835" s="6"/>
      <c r="E835" s="6"/>
      <c r="F835" s="6"/>
      <c r="G835" s="6"/>
      <c r="H835" s="4"/>
      <c r="I835" s="4"/>
      <c r="J835" s="4"/>
      <c r="K835" s="4"/>
      <c r="L835" s="4"/>
      <c r="M835" s="4"/>
      <c r="N835" s="4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9"/>
      <c r="BJ835" s="19">
        <f t="shared" ref="BJ835:BJ898" si="156">A835</f>
        <v>0</v>
      </c>
      <c r="BK835" s="6"/>
      <c r="BL835" s="6"/>
      <c r="BM835" s="6"/>
      <c r="BN835" s="6"/>
      <c r="BO835" s="6"/>
    </row>
    <row r="836" spans="1:67" ht="13.4" customHeight="1">
      <c r="A836" s="6"/>
      <c r="B836" s="6"/>
      <c r="C836" s="6"/>
      <c r="D836" s="6"/>
      <c r="E836" s="6"/>
      <c r="F836" s="6"/>
      <c r="G836" s="6"/>
      <c r="H836" s="4"/>
      <c r="I836" s="4"/>
      <c r="J836" s="4"/>
      <c r="K836" s="4"/>
      <c r="L836" s="4"/>
      <c r="M836" s="4"/>
      <c r="N836" s="4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9"/>
      <c r="BJ836" s="19">
        <f t="shared" si="156"/>
        <v>0</v>
      </c>
      <c r="BK836" s="6"/>
      <c r="BL836" s="6"/>
      <c r="BM836" s="6"/>
      <c r="BN836" s="6"/>
      <c r="BO836" s="6"/>
    </row>
    <row r="837" spans="1:67" ht="13.4" customHeight="1">
      <c r="A837" s="6"/>
      <c r="B837" s="6"/>
      <c r="C837" s="6"/>
      <c r="D837" s="6"/>
      <c r="E837" s="6"/>
      <c r="F837" s="6"/>
      <c r="G837" s="6"/>
      <c r="H837" s="4"/>
      <c r="I837" s="4"/>
      <c r="J837" s="4"/>
      <c r="K837" s="4"/>
      <c r="L837" s="4"/>
      <c r="M837" s="4"/>
      <c r="N837" s="4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9"/>
      <c r="BJ837" s="19">
        <f t="shared" si="156"/>
        <v>0</v>
      </c>
      <c r="BK837" s="6"/>
      <c r="BL837" s="6"/>
      <c r="BM837" s="6"/>
      <c r="BN837" s="6"/>
      <c r="BO837" s="6"/>
    </row>
    <row r="838" spans="1:67" ht="13.4" customHeight="1">
      <c r="A838" s="6"/>
      <c r="B838" s="6"/>
      <c r="C838" s="6"/>
      <c r="D838" s="6"/>
      <c r="E838" s="6"/>
      <c r="F838" s="6"/>
      <c r="G838" s="6"/>
      <c r="H838" s="4"/>
      <c r="I838" s="4"/>
      <c r="J838" s="4"/>
      <c r="K838" s="4"/>
      <c r="L838" s="4"/>
      <c r="M838" s="4"/>
      <c r="N838" s="4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9"/>
      <c r="BJ838" s="19">
        <f t="shared" si="156"/>
        <v>0</v>
      </c>
      <c r="BK838" s="6"/>
      <c r="BL838" s="6"/>
      <c r="BM838" s="6"/>
      <c r="BN838" s="6"/>
      <c r="BO838" s="6"/>
    </row>
    <row r="839" spans="1:67" ht="13.4" customHeight="1">
      <c r="A839" s="6"/>
      <c r="B839" s="6"/>
      <c r="C839" s="6"/>
      <c r="D839" s="6"/>
      <c r="E839" s="6"/>
      <c r="F839" s="6"/>
      <c r="G839" s="6"/>
      <c r="H839" s="4"/>
      <c r="I839" s="4"/>
      <c r="J839" s="4"/>
      <c r="K839" s="4"/>
      <c r="L839" s="4"/>
      <c r="M839" s="4"/>
      <c r="N839" s="4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9"/>
      <c r="BJ839" s="19">
        <f t="shared" si="156"/>
        <v>0</v>
      </c>
      <c r="BK839" s="6"/>
      <c r="BL839" s="6"/>
      <c r="BM839" s="6"/>
      <c r="BN839" s="6"/>
      <c r="BO839" s="6"/>
    </row>
    <row r="840" spans="1:67" ht="13.4" customHeight="1">
      <c r="A840" s="6"/>
      <c r="B840" s="6"/>
      <c r="C840" s="6"/>
      <c r="D840" s="6"/>
      <c r="E840" s="6"/>
      <c r="F840" s="6"/>
      <c r="G840" s="6"/>
      <c r="H840" s="4"/>
      <c r="I840" s="4"/>
      <c r="J840" s="4"/>
      <c r="K840" s="4"/>
      <c r="L840" s="4"/>
      <c r="M840" s="4"/>
      <c r="N840" s="4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9"/>
      <c r="BJ840" s="19">
        <f t="shared" si="156"/>
        <v>0</v>
      </c>
      <c r="BK840" s="6"/>
      <c r="BL840" s="6"/>
      <c r="BM840" s="6"/>
      <c r="BN840" s="6"/>
      <c r="BO840" s="6"/>
    </row>
    <row r="841" spans="1:67" ht="13.4" customHeight="1">
      <c r="A841" s="6"/>
      <c r="B841" s="6"/>
      <c r="C841" s="6"/>
      <c r="D841" s="6"/>
      <c r="E841" s="6"/>
      <c r="F841" s="6"/>
      <c r="G841" s="6"/>
      <c r="H841" s="4"/>
      <c r="I841" s="4"/>
      <c r="J841" s="4"/>
      <c r="K841" s="4"/>
      <c r="L841" s="4"/>
      <c r="M841" s="4"/>
      <c r="N841" s="4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9"/>
      <c r="BJ841" s="19">
        <f t="shared" si="156"/>
        <v>0</v>
      </c>
      <c r="BK841" s="6"/>
      <c r="BL841" s="6"/>
      <c r="BM841" s="6"/>
      <c r="BN841" s="6"/>
      <c r="BO841" s="6"/>
    </row>
    <row r="842" spans="1:67" ht="13.4" customHeight="1">
      <c r="A842" s="6"/>
      <c r="B842" s="6"/>
      <c r="C842" s="6"/>
      <c r="D842" s="6"/>
      <c r="E842" s="6"/>
      <c r="F842" s="6"/>
      <c r="G842" s="6"/>
      <c r="H842" s="4"/>
      <c r="I842" s="4"/>
      <c r="J842" s="4"/>
      <c r="K842" s="4"/>
      <c r="L842" s="4"/>
      <c r="M842" s="4"/>
      <c r="N842" s="4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9"/>
      <c r="BJ842" s="19">
        <f t="shared" si="156"/>
        <v>0</v>
      </c>
      <c r="BK842" s="6"/>
      <c r="BL842" s="6"/>
      <c r="BM842" s="6"/>
      <c r="BN842" s="6"/>
      <c r="BO842" s="6"/>
    </row>
    <row r="843" spans="1:67" ht="13.4" customHeight="1">
      <c r="A843" s="6"/>
      <c r="B843" s="6"/>
      <c r="C843" s="6"/>
      <c r="D843" s="6"/>
      <c r="E843" s="6"/>
      <c r="F843" s="6"/>
      <c r="G843" s="6"/>
      <c r="H843" s="4"/>
      <c r="I843" s="4"/>
      <c r="J843" s="4"/>
      <c r="K843" s="4"/>
      <c r="L843" s="4"/>
      <c r="M843" s="4"/>
      <c r="N843" s="4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9"/>
      <c r="BJ843" s="19">
        <f t="shared" si="156"/>
        <v>0</v>
      </c>
      <c r="BK843" s="6"/>
      <c r="BL843" s="6"/>
      <c r="BM843" s="6"/>
      <c r="BN843" s="6"/>
      <c r="BO843" s="6"/>
    </row>
    <row r="844" spans="1:67" ht="13.4" customHeight="1">
      <c r="A844" s="6"/>
      <c r="B844" s="6"/>
      <c r="C844" s="6"/>
      <c r="D844" s="6"/>
      <c r="E844" s="6"/>
      <c r="F844" s="6"/>
      <c r="G844" s="6"/>
      <c r="H844" s="4"/>
      <c r="I844" s="4"/>
      <c r="J844" s="4"/>
      <c r="K844" s="4"/>
      <c r="L844" s="4"/>
      <c r="M844" s="4"/>
      <c r="N844" s="4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9"/>
      <c r="BJ844" s="19">
        <f t="shared" si="156"/>
        <v>0</v>
      </c>
      <c r="BK844" s="6"/>
      <c r="BL844" s="6"/>
      <c r="BM844" s="6"/>
      <c r="BN844" s="6"/>
      <c r="BO844" s="6"/>
    </row>
    <row r="845" spans="1:67" ht="13.4" customHeight="1">
      <c r="A845" s="6"/>
      <c r="B845" s="6"/>
      <c r="C845" s="6"/>
      <c r="D845" s="6"/>
      <c r="E845" s="6"/>
      <c r="F845" s="6"/>
      <c r="G845" s="6"/>
      <c r="H845" s="4"/>
      <c r="I845" s="4"/>
      <c r="J845" s="4"/>
      <c r="K845" s="4"/>
      <c r="L845" s="4"/>
      <c r="M845" s="4"/>
      <c r="N845" s="4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9"/>
      <c r="BJ845" s="19">
        <f t="shared" si="156"/>
        <v>0</v>
      </c>
      <c r="BK845" s="6"/>
      <c r="BL845" s="6"/>
      <c r="BM845" s="6"/>
      <c r="BN845" s="6"/>
      <c r="BO845" s="6"/>
    </row>
    <row r="846" spans="1:67" ht="13.4" customHeight="1">
      <c r="A846" s="6"/>
      <c r="B846" s="6"/>
      <c r="C846" s="6"/>
      <c r="D846" s="6"/>
      <c r="E846" s="6"/>
      <c r="F846" s="6"/>
      <c r="G846" s="6"/>
      <c r="H846" s="4"/>
      <c r="I846" s="4"/>
      <c r="J846" s="4"/>
      <c r="K846" s="4"/>
      <c r="L846" s="4"/>
      <c r="M846" s="4"/>
      <c r="N846" s="4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9"/>
      <c r="BJ846" s="19">
        <f t="shared" si="156"/>
        <v>0</v>
      </c>
      <c r="BK846" s="6"/>
      <c r="BL846" s="6"/>
      <c r="BM846" s="6"/>
      <c r="BN846" s="6"/>
      <c r="BO846" s="6"/>
    </row>
    <row r="847" spans="1:67" ht="13.4" customHeight="1">
      <c r="A847" s="6"/>
      <c r="B847" s="6"/>
      <c r="C847" s="6"/>
      <c r="D847" s="6"/>
      <c r="E847" s="6"/>
      <c r="F847" s="6"/>
      <c r="G847" s="6"/>
      <c r="H847" s="4"/>
      <c r="I847" s="4"/>
      <c r="J847" s="4"/>
      <c r="K847" s="4"/>
      <c r="L847" s="4"/>
      <c r="M847" s="4"/>
      <c r="N847" s="4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9"/>
      <c r="BJ847" s="19">
        <f t="shared" si="156"/>
        <v>0</v>
      </c>
      <c r="BK847" s="6"/>
      <c r="BL847" s="6"/>
      <c r="BM847" s="6"/>
      <c r="BN847" s="6"/>
      <c r="BO847" s="6"/>
    </row>
    <row r="848" spans="1:67" ht="13.4" customHeight="1">
      <c r="A848" s="6"/>
      <c r="B848" s="6"/>
      <c r="C848" s="6"/>
      <c r="D848" s="6"/>
      <c r="E848" s="6"/>
      <c r="F848" s="6"/>
      <c r="G848" s="6"/>
      <c r="H848" s="4"/>
      <c r="I848" s="4"/>
      <c r="J848" s="4"/>
      <c r="K848" s="4"/>
      <c r="L848" s="4"/>
      <c r="M848" s="4"/>
      <c r="N848" s="4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9"/>
      <c r="BJ848" s="19">
        <f t="shared" si="156"/>
        <v>0</v>
      </c>
      <c r="BK848" s="6"/>
      <c r="BL848" s="6"/>
      <c r="BM848" s="6"/>
      <c r="BN848" s="6"/>
      <c r="BO848" s="6"/>
    </row>
    <row r="849" spans="1:67" ht="13.4" customHeight="1">
      <c r="A849" s="6"/>
      <c r="B849" s="6"/>
      <c r="C849" s="6"/>
      <c r="D849" s="6"/>
      <c r="E849" s="6"/>
      <c r="F849" s="6"/>
      <c r="G849" s="6"/>
      <c r="H849" s="4"/>
      <c r="I849" s="4"/>
      <c r="J849" s="4"/>
      <c r="K849" s="4"/>
      <c r="L849" s="4"/>
      <c r="M849" s="4"/>
      <c r="N849" s="4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9"/>
      <c r="BJ849" s="19">
        <f t="shared" si="156"/>
        <v>0</v>
      </c>
      <c r="BK849" s="6"/>
      <c r="BL849" s="6"/>
      <c r="BM849" s="6"/>
      <c r="BN849" s="6"/>
      <c r="BO849" s="6"/>
    </row>
    <row r="850" spans="1:67" ht="13.4" customHeight="1">
      <c r="A850" s="6"/>
      <c r="B850" s="6"/>
      <c r="C850" s="6"/>
      <c r="D850" s="6"/>
      <c r="E850" s="6"/>
      <c r="F850" s="6"/>
      <c r="G850" s="6"/>
      <c r="H850" s="4"/>
      <c r="I850" s="4"/>
      <c r="J850" s="4"/>
      <c r="K850" s="4"/>
      <c r="L850" s="4"/>
      <c r="M850" s="4"/>
      <c r="N850" s="4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9"/>
      <c r="BJ850" s="19">
        <f t="shared" si="156"/>
        <v>0</v>
      </c>
      <c r="BK850" s="6"/>
      <c r="BL850" s="6"/>
      <c r="BM850" s="6"/>
      <c r="BN850" s="6"/>
      <c r="BO850" s="6"/>
    </row>
    <row r="851" spans="1:67" ht="13.4" customHeight="1">
      <c r="A851" s="6"/>
      <c r="B851" s="6"/>
      <c r="C851" s="6"/>
      <c r="D851" s="6"/>
      <c r="E851" s="6"/>
      <c r="F851" s="6"/>
      <c r="G851" s="6"/>
      <c r="H851" s="4"/>
      <c r="I851" s="4"/>
      <c r="J851" s="4"/>
      <c r="K851" s="4"/>
      <c r="L851" s="4"/>
      <c r="M851" s="4"/>
      <c r="N851" s="4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9"/>
      <c r="BJ851" s="19">
        <f t="shared" si="156"/>
        <v>0</v>
      </c>
      <c r="BK851" s="6"/>
      <c r="BL851" s="6"/>
      <c r="BM851" s="6"/>
      <c r="BN851" s="6"/>
      <c r="BO851" s="6"/>
    </row>
    <row r="852" spans="1:67" ht="13.4" customHeight="1">
      <c r="A852" s="6"/>
      <c r="B852" s="6"/>
      <c r="C852" s="6"/>
      <c r="D852" s="6"/>
      <c r="E852" s="6"/>
      <c r="F852" s="6"/>
      <c r="G852" s="6"/>
      <c r="H852" s="4"/>
      <c r="I852" s="4"/>
      <c r="J852" s="4"/>
      <c r="K852" s="4"/>
      <c r="L852" s="4"/>
      <c r="M852" s="4"/>
      <c r="N852" s="4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9"/>
      <c r="BJ852" s="19">
        <f t="shared" si="156"/>
        <v>0</v>
      </c>
      <c r="BK852" s="6"/>
      <c r="BL852" s="6"/>
      <c r="BM852" s="6"/>
      <c r="BN852" s="6"/>
      <c r="BO852" s="6"/>
    </row>
    <row r="853" spans="1:67" ht="13.4" customHeight="1">
      <c r="A853" s="6"/>
      <c r="B853" s="6"/>
      <c r="C853" s="6"/>
      <c r="D853" s="6"/>
      <c r="E853" s="6"/>
      <c r="F853" s="6"/>
      <c r="G853" s="6"/>
      <c r="H853" s="4"/>
      <c r="I853" s="4"/>
      <c r="J853" s="4"/>
      <c r="K853" s="4"/>
      <c r="L853" s="4"/>
      <c r="M853" s="4"/>
      <c r="N853" s="4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9"/>
      <c r="BJ853" s="19">
        <f t="shared" si="156"/>
        <v>0</v>
      </c>
      <c r="BK853" s="6"/>
      <c r="BL853" s="6"/>
      <c r="BM853" s="6"/>
      <c r="BN853" s="6"/>
      <c r="BO853" s="6"/>
    </row>
    <row r="854" spans="1:67" ht="13.4" customHeight="1">
      <c r="A854" s="6"/>
      <c r="B854" s="6"/>
      <c r="C854" s="6"/>
      <c r="D854" s="6"/>
      <c r="E854" s="6"/>
      <c r="F854" s="6"/>
      <c r="G854" s="6"/>
      <c r="H854" s="4"/>
      <c r="I854" s="4"/>
      <c r="J854" s="4"/>
      <c r="K854" s="4"/>
      <c r="L854" s="4"/>
      <c r="M854" s="4"/>
      <c r="N854" s="4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9"/>
      <c r="BJ854" s="19">
        <f t="shared" si="156"/>
        <v>0</v>
      </c>
      <c r="BK854" s="6"/>
      <c r="BL854" s="6"/>
      <c r="BM854" s="6"/>
      <c r="BN854" s="6"/>
      <c r="BO854" s="6"/>
    </row>
    <row r="855" spans="1:67" ht="13.4" customHeight="1">
      <c r="A855" s="6"/>
      <c r="B855" s="6"/>
      <c r="C855" s="6"/>
      <c r="D855" s="6"/>
      <c r="E855" s="6"/>
      <c r="F855" s="6"/>
      <c r="G855" s="6"/>
      <c r="H855" s="4"/>
      <c r="I855" s="4"/>
      <c r="J855" s="4"/>
      <c r="K855" s="4"/>
      <c r="L855" s="4"/>
      <c r="M855" s="4"/>
      <c r="N855" s="4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9"/>
      <c r="BJ855" s="19">
        <f t="shared" si="156"/>
        <v>0</v>
      </c>
      <c r="BK855" s="6"/>
      <c r="BL855" s="6"/>
      <c r="BM855" s="6"/>
      <c r="BN855" s="6"/>
      <c r="BO855" s="6"/>
    </row>
    <row r="856" spans="1:67" ht="13.4" customHeight="1">
      <c r="A856" s="6"/>
      <c r="B856" s="6"/>
      <c r="C856" s="6"/>
      <c r="D856" s="6"/>
      <c r="E856" s="6"/>
      <c r="F856" s="6"/>
      <c r="G856" s="6"/>
      <c r="H856" s="4"/>
      <c r="I856" s="4"/>
      <c r="J856" s="4"/>
      <c r="K856" s="4"/>
      <c r="L856" s="4"/>
      <c r="M856" s="4"/>
      <c r="N856" s="4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9"/>
      <c r="BJ856" s="19">
        <f t="shared" si="156"/>
        <v>0</v>
      </c>
      <c r="BK856" s="6"/>
      <c r="BL856" s="6"/>
      <c r="BM856" s="6"/>
      <c r="BN856" s="6"/>
      <c r="BO856" s="6"/>
    </row>
    <row r="857" spans="1:67" ht="13.4" customHeight="1">
      <c r="A857" s="6"/>
      <c r="B857" s="6"/>
      <c r="C857" s="6"/>
      <c r="D857" s="6"/>
      <c r="E857" s="6"/>
      <c r="F857" s="6"/>
      <c r="G857" s="6"/>
      <c r="H857" s="4"/>
      <c r="I857" s="4"/>
      <c r="J857" s="4"/>
      <c r="K857" s="4"/>
      <c r="L857" s="4"/>
      <c r="M857" s="4"/>
      <c r="N857" s="4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9"/>
      <c r="BJ857" s="19">
        <f t="shared" si="156"/>
        <v>0</v>
      </c>
      <c r="BK857" s="6"/>
      <c r="BL857" s="6"/>
      <c r="BM857" s="6"/>
      <c r="BN857" s="6"/>
      <c r="BO857" s="6"/>
    </row>
    <row r="858" spans="1:67" ht="13.4" customHeight="1">
      <c r="A858" s="6"/>
      <c r="B858" s="6"/>
      <c r="C858" s="6"/>
      <c r="D858" s="6"/>
      <c r="E858" s="6"/>
      <c r="F858" s="6"/>
      <c r="G858" s="6"/>
      <c r="H858" s="4"/>
      <c r="I858" s="4"/>
      <c r="J858" s="4"/>
      <c r="K858" s="4"/>
      <c r="L858" s="4"/>
      <c r="M858" s="4"/>
      <c r="N858" s="4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9"/>
      <c r="BJ858" s="19">
        <f t="shared" si="156"/>
        <v>0</v>
      </c>
      <c r="BK858" s="6"/>
      <c r="BL858" s="6"/>
      <c r="BM858" s="6"/>
      <c r="BN858" s="6"/>
      <c r="BO858" s="6"/>
    </row>
    <row r="859" spans="1:67" ht="13.4" customHeight="1">
      <c r="A859" s="6"/>
      <c r="B859" s="6"/>
      <c r="C859" s="6"/>
      <c r="D859" s="6"/>
      <c r="E859" s="6"/>
      <c r="F859" s="6"/>
      <c r="G859" s="6"/>
      <c r="H859" s="4"/>
      <c r="I859" s="4"/>
      <c r="J859" s="4"/>
      <c r="K859" s="4"/>
      <c r="L859" s="4"/>
      <c r="M859" s="4"/>
      <c r="N859" s="4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9"/>
      <c r="BJ859" s="19">
        <f t="shared" si="156"/>
        <v>0</v>
      </c>
      <c r="BK859" s="6"/>
      <c r="BL859" s="6"/>
      <c r="BM859" s="6"/>
      <c r="BN859" s="6"/>
      <c r="BO859" s="6"/>
    </row>
    <row r="860" spans="1:67" ht="13.4" customHeight="1">
      <c r="A860" s="6"/>
      <c r="B860" s="6"/>
      <c r="C860" s="6"/>
      <c r="D860" s="6"/>
      <c r="E860" s="6"/>
      <c r="F860" s="6"/>
      <c r="G860" s="6"/>
      <c r="H860" s="4"/>
      <c r="I860" s="4"/>
      <c r="J860" s="4"/>
      <c r="K860" s="4"/>
      <c r="L860" s="4"/>
      <c r="M860" s="4"/>
      <c r="N860" s="4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9"/>
      <c r="BJ860" s="19">
        <f t="shared" si="156"/>
        <v>0</v>
      </c>
      <c r="BK860" s="6"/>
      <c r="BL860" s="6"/>
      <c r="BM860" s="6"/>
      <c r="BN860" s="6"/>
      <c r="BO860" s="6"/>
    </row>
    <row r="861" spans="1:67" ht="13.4" customHeight="1">
      <c r="A861" s="6"/>
      <c r="B861" s="6"/>
      <c r="C861" s="6"/>
      <c r="D861" s="6"/>
      <c r="E861" s="6"/>
      <c r="F861" s="6"/>
      <c r="G861" s="6"/>
      <c r="H861" s="4"/>
      <c r="I861" s="4"/>
      <c r="J861" s="4"/>
      <c r="K861" s="4"/>
      <c r="L861" s="4"/>
      <c r="M861" s="4"/>
      <c r="N861" s="4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9"/>
      <c r="BJ861" s="19">
        <f t="shared" si="156"/>
        <v>0</v>
      </c>
      <c r="BK861" s="6"/>
      <c r="BL861" s="6"/>
      <c r="BM861" s="6"/>
      <c r="BN861" s="6"/>
      <c r="BO861" s="6"/>
    </row>
    <row r="862" spans="1:67" ht="13.4" customHeight="1">
      <c r="A862" s="6"/>
      <c r="B862" s="6"/>
      <c r="C862" s="6"/>
      <c r="D862" s="6"/>
      <c r="E862" s="6"/>
      <c r="F862" s="6"/>
      <c r="G862" s="6"/>
      <c r="H862" s="4"/>
      <c r="I862" s="4"/>
      <c r="J862" s="4"/>
      <c r="K862" s="4"/>
      <c r="L862" s="4"/>
      <c r="M862" s="4"/>
      <c r="N862" s="4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9"/>
      <c r="BJ862" s="19">
        <f t="shared" si="156"/>
        <v>0</v>
      </c>
      <c r="BK862" s="6"/>
      <c r="BL862" s="6"/>
      <c r="BM862" s="6"/>
      <c r="BN862" s="6"/>
      <c r="BO862" s="6"/>
    </row>
    <row r="863" spans="1:67" ht="13.4" customHeight="1">
      <c r="A863" s="6"/>
      <c r="B863" s="6"/>
      <c r="C863" s="6"/>
      <c r="D863" s="6"/>
      <c r="E863" s="6"/>
      <c r="F863" s="6"/>
      <c r="G863" s="6"/>
      <c r="H863" s="4"/>
      <c r="I863" s="4"/>
      <c r="J863" s="4"/>
      <c r="K863" s="4"/>
      <c r="L863" s="4"/>
      <c r="M863" s="4"/>
      <c r="N863" s="4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9"/>
      <c r="BJ863" s="19">
        <f t="shared" si="156"/>
        <v>0</v>
      </c>
      <c r="BK863" s="6"/>
      <c r="BL863" s="6"/>
      <c r="BM863" s="6"/>
      <c r="BN863" s="6"/>
      <c r="BO863" s="6"/>
    </row>
    <row r="864" spans="1:67" ht="13.4" customHeight="1">
      <c r="A864" s="6"/>
      <c r="B864" s="6"/>
      <c r="C864" s="6"/>
      <c r="D864" s="6"/>
      <c r="E864" s="6"/>
      <c r="F864" s="6"/>
      <c r="G864" s="6"/>
      <c r="H864" s="4"/>
      <c r="I864" s="4"/>
      <c r="J864" s="4"/>
      <c r="K864" s="4"/>
      <c r="L864" s="4"/>
      <c r="M864" s="4"/>
      <c r="N864" s="4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9"/>
      <c r="BJ864" s="19">
        <f t="shared" si="156"/>
        <v>0</v>
      </c>
      <c r="BK864" s="6"/>
      <c r="BL864" s="6"/>
      <c r="BM864" s="6"/>
      <c r="BN864" s="6"/>
      <c r="BO864" s="6"/>
    </row>
    <row r="865" spans="1:67" ht="13.4" customHeight="1">
      <c r="A865" s="6"/>
      <c r="B865" s="6"/>
      <c r="C865" s="6"/>
      <c r="D865" s="6"/>
      <c r="E865" s="6"/>
      <c r="F865" s="6"/>
      <c r="G865" s="6"/>
      <c r="H865" s="4"/>
      <c r="I865" s="4"/>
      <c r="J865" s="4"/>
      <c r="K865" s="4"/>
      <c r="L865" s="4"/>
      <c r="M865" s="4"/>
      <c r="N865" s="4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9"/>
      <c r="BJ865" s="19">
        <f t="shared" si="156"/>
        <v>0</v>
      </c>
      <c r="BK865" s="6"/>
      <c r="BL865" s="6"/>
      <c r="BM865" s="6"/>
      <c r="BN865" s="6"/>
      <c r="BO865" s="6"/>
    </row>
    <row r="866" spans="1:67" ht="13.4" customHeight="1">
      <c r="A866" s="6"/>
      <c r="B866" s="6"/>
      <c r="C866" s="6"/>
      <c r="D866" s="6"/>
      <c r="E866" s="6"/>
      <c r="F866" s="6"/>
      <c r="G866" s="6"/>
      <c r="H866" s="4"/>
      <c r="I866" s="4"/>
      <c r="J866" s="4"/>
      <c r="K866" s="4"/>
      <c r="L866" s="4"/>
      <c r="M866" s="4"/>
      <c r="N866" s="4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9"/>
      <c r="BJ866" s="19">
        <f t="shared" si="156"/>
        <v>0</v>
      </c>
      <c r="BK866" s="6"/>
      <c r="BL866" s="6"/>
      <c r="BM866" s="6"/>
      <c r="BN866" s="6"/>
      <c r="BO866" s="6"/>
    </row>
    <row r="867" spans="1:67" ht="13.4" customHeight="1">
      <c r="A867" s="6"/>
      <c r="B867" s="6"/>
      <c r="C867" s="6"/>
      <c r="D867" s="6"/>
      <c r="E867" s="6"/>
      <c r="F867" s="6"/>
      <c r="G867" s="6"/>
      <c r="H867" s="4"/>
      <c r="I867" s="4"/>
      <c r="J867" s="4"/>
      <c r="K867" s="4"/>
      <c r="L867" s="4"/>
      <c r="M867" s="4"/>
      <c r="N867" s="4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9"/>
      <c r="BJ867" s="19">
        <f t="shared" si="156"/>
        <v>0</v>
      </c>
      <c r="BK867" s="6"/>
      <c r="BL867" s="6"/>
      <c r="BM867" s="6"/>
      <c r="BN867" s="6"/>
      <c r="BO867" s="6"/>
    </row>
    <row r="868" spans="1:67" ht="13.4" customHeight="1">
      <c r="A868" s="6"/>
      <c r="B868" s="6"/>
      <c r="C868" s="6"/>
      <c r="D868" s="6"/>
      <c r="E868" s="6"/>
      <c r="F868" s="6"/>
      <c r="G868" s="6"/>
      <c r="H868" s="4"/>
      <c r="I868" s="4"/>
      <c r="J868" s="4"/>
      <c r="K868" s="4"/>
      <c r="L868" s="4"/>
      <c r="M868" s="4"/>
      <c r="N868" s="4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9"/>
      <c r="BJ868" s="19">
        <f t="shared" si="156"/>
        <v>0</v>
      </c>
      <c r="BK868" s="6"/>
      <c r="BL868" s="6"/>
      <c r="BM868" s="6"/>
      <c r="BN868" s="6"/>
      <c r="BO868" s="6"/>
    </row>
    <row r="869" spans="1:67" ht="13.4" customHeight="1">
      <c r="A869" s="6"/>
      <c r="B869" s="6"/>
      <c r="C869" s="6"/>
      <c r="D869" s="6"/>
      <c r="E869" s="6"/>
      <c r="F869" s="6"/>
      <c r="G869" s="6"/>
      <c r="H869" s="4"/>
      <c r="I869" s="4"/>
      <c r="J869" s="4"/>
      <c r="K869" s="4"/>
      <c r="L869" s="4"/>
      <c r="M869" s="4"/>
      <c r="N869" s="4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9"/>
      <c r="BJ869" s="19">
        <f t="shared" si="156"/>
        <v>0</v>
      </c>
      <c r="BK869" s="6"/>
      <c r="BL869" s="6"/>
      <c r="BM869" s="6"/>
      <c r="BN869" s="6"/>
      <c r="BO869" s="6"/>
    </row>
    <row r="870" spans="1:67" ht="13.4" customHeight="1">
      <c r="A870" s="6"/>
      <c r="B870" s="6"/>
      <c r="C870" s="6"/>
      <c r="D870" s="6"/>
      <c r="E870" s="6"/>
      <c r="F870" s="6"/>
      <c r="G870" s="6"/>
      <c r="H870" s="4"/>
      <c r="I870" s="4"/>
      <c r="J870" s="4"/>
      <c r="K870" s="4"/>
      <c r="L870" s="4"/>
      <c r="M870" s="4"/>
      <c r="N870" s="4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9"/>
      <c r="BJ870" s="19">
        <f t="shared" si="156"/>
        <v>0</v>
      </c>
      <c r="BK870" s="6"/>
      <c r="BL870" s="6"/>
      <c r="BM870" s="6"/>
      <c r="BN870" s="6"/>
      <c r="BO870" s="6"/>
    </row>
    <row r="871" spans="1:67" ht="13.4" customHeight="1">
      <c r="A871" s="6"/>
      <c r="B871" s="6"/>
      <c r="C871" s="6"/>
      <c r="D871" s="6"/>
      <c r="E871" s="6"/>
      <c r="F871" s="6"/>
      <c r="G871" s="6"/>
      <c r="H871" s="4"/>
      <c r="I871" s="4"/>
      <c r="J871" s="4"/>
      <c r="K871" s="4"/>
      <c r="L871" s="4"/>
      <c r="M871" s="4"/>
      <c r="N871" s="4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9"/>
      <c r="BJ871" s="19">
        <f t="shared" si="156"/>
        <v>0</v>
      </c>
      <c r="BK871" s="6"/>
      <c r="BL871" s="6"/>
      <c r="BM871" s="6"/>
      <c r="BN871" s="6"/>
      <c r="BO871" s="6"/>
    </row>
    <row r="872" spans="1:67" ht="13.4" customHeight="1">
      <c r="A872" s="6"/>
      <c r="B872" s="6"/>
      <c r="C872" s="6"/>
      <c r="D872" s="6"/>
      <c r="E872" s="6"/>
      <c r="F872" s="6"/>
      <c r="G872" s="6"/>
      <c r="H872" s="4"/>
      <c r="I872" s="4"/>
      <c r="J872" s="4"/>
      <c r="K872" s="4"/>
      <c r="L872" s="4"/>
      <c r="M872" s="4"/>
      <c r="N872" s="4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9"/>
      <c r="BJ872" s="19">
        <f t="shared" si="156"/>
        <v>0</v>
      </c>
      <c r="BK872" s="6"/>
      <c r="BL872" s="6"/>
      <c r="BM872" s="6"/>
      <c r="BN872" s="6"/>
      <c r="BO872" s="6"/>
    </row>
    <row r="873" spans="1:67" ht="13.4" customHeight="1">
      <c r="A873" s="6"/>
      <c r="B873" s="6"/>
      <c r="C873" s="6"/>
      <c r="D873" s="6"/>
      <c r="E873" s="6"/>
      <c r="F873" s="6"/>
      <c r="G873" s="6"/>
      <c r="H873" s="4"/>
      <c r="I873" s="4"/>
      <c r="J873" s="4"/>
      <c r="K873" s="4"/>
      <c r="L873" s="4"/>
      <c r="M873" s="4"/>
      <c r="N873" s="4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9"/>
      <c r="BJ873" s="19">
        <f t="shared" si="156"/>
        <v>0</v>
      </c>
      <c r="BK873" s="6"/>
      <c r="BL873" s="6"/>
      <c r="BM873" s="6"/>
      <c r="BN873" s="6"/>
      <c r="BO873" s="6"/>
    </row>
    <row r="874" spans="1:67" ht="13.4" customHeight="1">
      <c r="A874" s="6"/>
      <c r="B874" s="6"/>
      <c r="C874" s="6"/>
      <c r="D874" s="6"/>
      <c r="E874" s="6"/>
      <c r="F874" s="6"/>
      <c r="G874" s="6"/>
      <c r="H874" s="4"/>
      <c r="I874" s="4"/>
      <c r="J874" s="4"/>
      <c r="K874" s="4"/>
      <c r="L874" s="4"/>
      <c r="M874" s="4"/>
      <c r="N874" s="4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9"/>
      <c r="BJ874" s="19">
        <f t="shared" si="156"/>
        <v>0</v>
      </c>
      <c r="BK874" s="6"/>
      <c r="BL874" s="6"/>
      <c r="BM874" s="6"/>
      <c r="BN874" s="6"/>
      <c r="BO874" s="6"/>
    </row>
    <row r="875" spans="1:67" ht="13.4" customHeight="1">
      <c r="A875" s="6"/>
      <c r="B875" s="6"/>
      <c r="C875" s="6"/>
      <c r="D875" s="6"/>
      <c r="E875" s="6"/>
      <c r="F875" s="6"/>
      <c r="G875" s="6"/>
      <c r="H875" s="4"/>
      <c r="I875" s="4"/>
      <c r="J875" s="4"/>
      <c r="K875" s="4"/>
      <c r="L875" s="4"/>
      <c r="M875" s="4"/>
      <c r="N875" s="4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9"/>
      <c r="BJ875" s="19">
        <f t="shared" si="156"/>
        <v>0</v>
      </c>
      <c r="BK875" s="6"/>
      <c r="BL875" s="6"/>
      <c r="BM875" s="6"/>
      <c r="BN875" s="6"/>
      <c r="BO875" s="6"/>
    </row>
    <row r="876" spans="1:67" ht="13.4" customHeight="1">
      <c r="A876" s="6"/>
      <c r="B876" s="6"/>
      <c r="C876" s="6"/>
      <c r="D876" s="6"/>
      <c r="E876" s="6"/>
      <c r="F876" s="6"/>
      <c r="G876" s="6"/>
      <c r="H876" s="4"/>
      <c r="I876" s="4"/>
      <c r="J876" s="4"/>
      <c r="K876" s="4"/>
      <c r="L876" s="4"/>
      <c r="M876" s="4"/>
      <c r="N876" s="4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9"/>
      <c r="BJ876" s="19">
        <f t="shared" si="156"/>
        <v>0</v>
      </c>
      <c r="BK876" s="6"/>
      <c r="BL876" s="6"/>
      <c r="BM876" s="6"/>
      <c r="BN876" s="6"/>
      <c r="BO876" s="6"/>
    </row>
    <row r="877" spans="1:67" ht="13.4" customHeight="1">
      <c r="A877" s="6"/>
      <c r="B877" s="6"/>
      <c r="C877" s="6"/>
      <c r="D877" s="6"/>
      <c r="E877" s="6"/>
      <c r="F877" s="6"/>
      <c r="G877" s="6"/>
      <c r="H877" s="4"/>
      <c r="I877" s="4"/>
      <c r="J877" s="4"/>
      <c r="K877" s="4"/>
      <c r="L877" s="4"/>
      <c r="M877" s="4"/>
      <c r="N877" s="4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9"/>
      <c r="BJ877" s="19">
        <f t="shared" si="156"/>
        <v>0</v>
      </c>
      <c r="BK877" s="6"/>
      <c r="BL877" s="6"/>
      <c r="BM877" s="6"/>
      <c r="BN877" s="6"/>
      <c r="BO877" s="6"/>
    </row>
    <row r="878" spans="1:67" ht="13.4" customHeight="1">
      <c r="A878" s="6"/>
      <c r="B878" s="6"/>
      <c r="C878" s="6"/>
      <c r="D878" s="6"/>
      <c r="E878" s="6"/>
      <c r="F878" s="6"/>
      <c r="G878" s="6"/>
      <c r="H878" s="4"/>
      <c r="I878" s="4"/>
      <c r="J878" s="4"/>
      <c r="K878" s="4"/>
      <c r="L878" s="4"/>
      <c r="M878" s="4"/>
      <c r="N878" s="4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9"/>
      <c r="BJ878" s="19">
        <f t="shared" si="156"/>
        <v>0</v>
      </c>
      <c r="BK878" s="6"/>
      <c r="BL878" s="6"/>
      <c r="BM878" s="6"/>
      <c r="BN878" s="6"/>
      <c r="BO878" s="6"/>
    </row>
    <row r="879" spans="1:67" ht="13.4" customHeight="1">
      <c r="A879" s="6"/>
      <c r="B879" s="6"/>
      <c r="C879" s="6"/>
      <c r="D879" s="6"/>
      <c r="E879" s="6"/>
      <c r="F879" s="6"/>
      <c r="G879" s="6"/>
      <c r="H879" s="4"/>
      <c r="I879" s="4"/>
      <c r="J879" s="4"/>
      <c r="K879" s="4"/>
      <c r="L879" s="4"/>
      <c r="M879" s="4"/>
      <c r="N879" s="4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9"/>
      <c r="BJ879" s="19">
        <f t="shared" si="156"/>
        <v>0</v>
      </c>
      <c r="BK879" s="6"/>
      <c r="BL879" s="6"/>
      <c r="BM879" s="6"/>
      <c r="BN879" s="6"/>
      <c r="BO879" s="6"/>
    </row>
    <row r="880" spans="1:67" ht="13.4" customHeight="1">
      <c r="A880" s="6"/>
      <c r="B880" s="6"/>
      <c r="C880" s="6"/>
      <c r="D880" s="6"/>
      <c r="E880" s="6"/>
      <c r="F880" s="6"/>
      <c r="G880" s="6"/>
      <c r="H880" s="4"/>
      <c r="I880" s="4"/>
      <c r="J880" s="4"/>
      <c r="K880" s="4"/>
      <c r="L880" s="4"/>
      <c r="M880" s="4"/>
      <c r="N880" s="4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9"/>
      <c r="BJ880" s="19">
        <f t="shared" si="156"/>
        <v>0</v>
      </c>
      <c r="BK880" s="6"/>
      <c r="BL880" s="6"/>
      <c r="BM880" s="6"/>
      <c r="BN880" s="6"/>
      <c r="BO880" s="6"/>
    </row>
    <row r="881" spans="1:67" ht="13.4" customHeight="1">
      <c r="A881" s="6"/>
      <c r="B881" s="6"/>
      <c r="C881" s="6"/>
      <c r="D881" s="6"/>
      <c r="E881" s="6"/>
      <c r="F881" s="6"/>
      <c r="G881" s="6"/>
      <c r="H881" s="4"/>
      <c r="I881" s="4"/>
      <c r="J881" s="4"/>
      <c r="K881" s="4"/>
      <c r="L881" s="4"/>
      <c r="M881" s="4"/>
      <c r="N881" s="4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9"/>
      <c r="BJ881" s="19">
        <f t="shared" si="156"/>
        <v>0</v>
      </c>
      <c r="BK881" s="6"/>
      <c r="BL881" s="6"/>
      <c r="BM881" s="6"/>
      <c r="BN881" s="6"/>
      <c r="BO881" s="6"/>
    </row>
    <row r="882" spans="1:67" ht="13.4" customHeight="1">
      <c r="A882" s="6"/>
      <c r="B882" s="6"/>
      <c r="C882" s="6"/>
      <c r="D882" s="6"/>
      <c r="E882" s="6"/>
      <c r="F882" s="6"/>
      <c r="G882" s="6"/>
      <c r="H882" s="4"/>
      <c r="I882" s="4"/>
      <c r="J882" s="4"/>
      <c r="K882" s="4"/>
      <c r="L882" s="4"/>
      <c r="M882" s="4"/>
      <c r="N882" s="4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9"/>
      <c r="BJ882" s="19">
        <f t="shared" si="156"/>
        <v>0</v>
      </c>
      <c r="BK882" s="6"/>
      <c r="BL882" s="6"/>
      <c r="BM882" s="6"/>
      <c r="BN882" s="6"/>
      <c r="BO882" s="6"/>
    </row>
    <row r="883" spans="1:67" ht="13.4" customHeight="1">
      <c r="A883" s="6"/>
      <c r="B883" s="6"/>
      <c r="C883" s="6"/>
      <c r="D883" s="6"/>
      <c r="E883" s="6"/>
      <c r="F883" s="6"/>
      <c r="G883" s="6"/>
      <c r="H883" s="4"/>
      <c r="I883" s="4"/>
      <c r="J883" s="4"/>
      <c r="K883" s="4"/>
      <c r="L883" s="4"/>
      <c r="M883" s="4"/>
      <c r="N883" s="4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9"/>
      <c r="BJ883" s="19">
        <f t="shared" si="156"/>
        <v>0</v>
      </c>
      <c r="BK883" s="6"/>
      <c r="BL883" s="6"/>
      <c r="BM883" s="6"/>
      <c r="BN883" s="6"/>
      <c r="BO883" s="6"/>
    </row>
    <row r="884" spans="1:67" ht="13.4" customHeight="1">
      <c r="A884" s="6"/>
      <c r="B884" s="6"/>
      <c r="C884" s="6"/>
      <c r="D884" s="6"/>
      <c r="E884" s="6"/>
      <c r="F884" s="6"/>
      <c r="G884" s="6"/>
      <c r="H884" s="4"/>
      <c r="I884" s="4"/>
      <c r="J884" s="4"/>
      <c r="K884" s="4"/>
      <c r="L884" s="4"/>
      <c r="M884" s="4"/>
      <c r="N884" s="4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9"/>
      <c r="BJ884" s="19">
        <f t="shared" si="156"/>
        <v>0</v>
      </c>
      <c r="BK884" s="6"/>
      <c r="BL884" s="6"/>
      <c r="BM884" s="6"/>
      <c r="BN884" s="6"/>
      <c r="BO884" s="6"/>
    </row>
    <row r="885" spans="1:67" ht="13.4" customHeight="1">
      <c r="A885" s="6"/>
      <c r="B885" s="6"/>
      <c r="C885" s="6"/>
      <c r="D885" s="6"/>
      <c r="E885" s="6"/>
      <c r="F885" s="6"/>
      <c r="G885" s="6"/>
      <c r="H885" s="4"/>
      <c r="I885" s="4"/>
      <c r="J885" s="4"/>
      <c r="K885" s="4"/>
      <c r="L885" s="4"/>
      <c r="M885" s="4"/>
      <c r="N885" s="4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9"/>
      <c r="BJ885" s="19">
        <f t="shared" si="156"/>
        <v>0</v>
      </c>
      <c r="BK885" s="6"/>
      <c r="BL885" s="6"/>
      <c r="BM885" s="6"/>
      <c r="BN885" s="6"/>
      <c r="BO885" s="6"/>
    </row>
    <row r="886" spans="1:67" ht="13.4" customHeight="1">
      <c r="A886" s="6"/>
      <c r="B886" s="6"/>
      <c r="C886" s="6"/>
      <c r="D886" s="6"/>
      <c r="E886" s="6"/>
      <c r="F886" s="6"/>
      <c r="G886" s="6"/>
      <c r="H886" s="4"/>
      <c r="I886" s="4"/>
      <c r="J886" s="4"/>
      <c r="K886" s="4"/>
      <c r="L886" s="4"/>
      <c r="M886" s="4"/>
      <c r="N886" s="4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9"/>
      <c r="BJ886" s="19">
        <f t="shared" si="156"/>
        <v>0</v>
      </c>
      <c r="BK886" s="6"/>
      <c r="BL886" s="6"/>
      <c r="BM886" s="6"/>
      <c r="BN886" s="6"/>
      <c r="BO886" s="6"/>
    </row>
    <row r="887" spans="1:67" ht="13.4" customHeight="1">
      <c r="A887" s="6"/>
      <c r="B887" s="6"/>
      <c r="C887" s="6"/>
      <c r="D887" s="6"/>
      <c r="E887" s="6"/>
      <c r="F887" s="6"/>
      <c r="G887" s="6"/>
      <c r="H887" s="4"/>
      <c r="I887" s="4"/>
      <c r="J887" s="4"/>
      <c r="K887" s="4"/>
      <c r="L887" s="4"/>
      <c r="M887" s="4"/>
      <c r="N887" s="4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9"/>
      <c r="BJ887" s="19">
        <f t="shared" si="156"/>
        <v>0</v>
      </c>
      <c r="BK887" s="6"/>
      <c r="BL887" s="6"/>
      <c r="BM887" s="6"/>
      <c r="BN887" s="6"/>
      <c r="BO887" s="6"/>
    </row>
    <row r="888" spans="1:67" ht="13.4" customHeight="1">
      <c r="A888" s="6"/>
      <c r="B888" s="6"/>
      <c r="C888" s="6"/>
      <c r="D888" s="6"/>
      <c r="E888" s="6"/>
      <c r="F888" s="6"/>
      <c r="G888" s="6"/>
      <c r="H888" s="4"/>
      <c r="I888" s="4"/>
      <c r="J888" s="4"/>
      <c r="K888" s="4"/>
      <c r="L888" s="4"/>
      <c r="M888" s="4"/>
      <c r="N888" s="4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9"/>
      <c r="BJ888" s="19">
        <f t="shared" si="156"/>
        <v>0</v>
      </c>
      <c r="BK888" s="6"/>
      <c r="BL888" s="6"/>
      <c r="BM888" s="6"/>
      <c r="BN888" s="6"/>
      <c r="BO888" s="6"/>
    </row>
    <row r="889" spans="1:67" ht="13.4" customHeight="1">
      <c r="A889" s="6"/>
      <c r="B889" s="6"/>
      <c r="C889" s="6"/>
      <c r="D889" s="6"/>
      <c r="E889" s="6"/>
      <c r="F889" s="6"/>
      <c r="G889" s="6"/>
      <c r="H889" s="4"/>
      <c r="I889" s="4"/>
      <c r="J889" s="4"/>
      <c r="K889" s="4"/>
      <c r="L889" s="4"/>
      <c r="M889" s="4"/>
      <c r="N889" s="4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9"/>
      <c r="BJ889" s="19">
        <f t="shared" si="156"/>
        <v>0</v>
      </c>
      <c r="BK889" s="6"/>
      <c r="BL889" s="6"/>
      <c r="BM889" s="6"/>
      <c r="BN889" s="6"/>
      <c r="BO889" s="6"/>
    </row>
    <row r="890" spans="1:67" ht="13.4" customHeight="1">
      <c r="A890" s="6"/>
      <c r="B890" s="6"/>
      <c r="C890" s="6"/>
      <c r="D890" s="6"/>
      <c r="E890" s="6"/>
      <c r="F890" s="6"/>
      <c r="G890" s="6"/>
      <c r="H890" s="4"/>
      <c r="I890" s="4"/>
      <c r="J890" s="4"/>
      <c r="K890" s="4"/>
      <c r="L890" s="4"/>
      <c r="M890" s="4"/>
      <c r="N890" s="4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9"/>
      <c r="BJ890" s="19">
        <f t="shared" si="156"/>
        <v>0</v>
      </c>
      <c r="BK890" s="6"/>
      <c r="BL890" s="6"/>
      <c r="BM890" s="6"/>
      <c r="BN890" s="6"/>
      <c r="BO890" s="6"/>
    </row>
    <row r="891" spans="1:67" ht="13.4" customHeight="1">
      <c r="A891" s="6"/>
      <c r="B891" s="6"/>
      <c r="C891" s="6"/>
      <c r="D891" s="6"/>
      <c r="E891" s="6"/>
      <c r="F891" s="6"/>
      <c r="G891" s="6"/>
      <c r="H891" s="4"/>
      <c r="I891" s="4"/>
      <c r="J891" s="4"/>
      <c r="K891" s="4"/>
      <c r="L891" s="4"/>
      <c r="M891" s="4"/>
      <c r="N891" s="4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9"/>
      <c r="BJ891" s="19">
        <f t="shared" si="156"/>
        <v>0</v>
      </c>
      <c r="BK891" s="6"/>
      <c r="BL891" s="6"/>
      <c r="BM891" s="6"/>
      <c r="BN891" s="6"/>
      <c r="BO891" s="6"/>
    </row>
    <row r="892" spans="1:67" ht="13.4" customHeight="1">
      <c r="A892" s="6"/>
      <c r="B892" s="6"/>
      <c r="C892" s="6"/>
      <c r="D892" s="6"/>
      <c r="E892" s="6"/>
      <c r="F892" s="6"/>
      <c r="G892" s="6"/>
      <c r="H892" s="4"/>
      <c r="I892" s="4"/>
      <c r="J892" s="4"/>
      <c r="K892" s="4"/>
      <c r="L892" s="4"/>
      <c r="M892" s="4"/>
      <c r="N892" s="4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9"/>
      <c r="BJ892" s="19">
        <f t="shared" si="156"/>
        <v>0</v>
      </c>
      <c r="BK892" s="6"/>
      <c r="BL892" s="6"/>
      <c r="BM892" s="6"/>
      <c r="BN892" s="6"/>
      <c r="BO892" s="6"/>
    </row>
    <row r="893" spans="1:67" ht="13.4" customHeight="1">
      <c r="A893" s="6"/>
      <c r="B893" s="6"/>
      <c r="C893" s="6"/>
      <c r="D893" s="6"/>
      <c r="E893" s="6"/>
      <c r="F893" s="6"/>
      <c r="G893" s="6"/>
      <c r="H893" s="4"/>
      <c r="I893" s="4"/>
      <c r="J893" s="4"/>
      <c r="K893" s="4"/>
      <c r="L893" s="4"/>
      <c r="M893" s="4"/>
      <c r="N893" s="4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9"/>
      <c r="BJ893" s="19">
        <f t="shared" si="156"/>
        <v>0</v>
      </c>
      <c r="BK893" s="6"/>
      <c r="BL893" s="6"/>
      <c r="BM893" s="6"/>
      <c r="BN893" s="6"/>
      <c r="BO893" s="6"/>
    </row>
    <row r="894" spans="1:67" ht="13.4" customHeight="1">
      <c r="A894" s="6"/>
      <c r="B894" s="6"/>
      <c r="C894" s="6"/>
      <c r="D894" s="6"/>
      <c r="E894" s="6"/>
      <c r="F894" s="6"/>
      <c r="G894" s="6"/>
      <c r="H894" s="4"/>
      <c r="I894" s="4"/>
      <c r="J894" s="4"/>
      <c r="K894" s="4"/>
      <c r="L894" s="4"/>
      <c r="M894" s="4"/>
      <c r="N894" s="4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9"/>
      <c r="BJ894" s="19">
        <f t="shared" si="156"/>
        <v>0</v>
      </c>
      <c r="BK894" s="6"/>
      <c r="BL894" s="6"/>
      <c r="BM894" s="6"/>
      <c r="BN894" s="6"/>
      <c r="BO894" s="6"/>
    </row>
    <row r="895" spans="1:67" ht="13.4" customHeight="1">
      <c r="A895" s="6"/>
      <c r="B895" s="6"/>
      <c r="C895" s="6"/>
      <c r="D895" s="6"/>
      <c r="E895" s="6"/>
      <c r="F895" s="6"/>
      <c r="G895" s="6"/>
      <c r="H895" s="4"/>
      <c r="I895" s="4"/>
      <c r="J895" s="4"/>
      <c r="K895" s="4"/>
      <c r="L895" s="4"/>
      <c r="M895" s="4"/>
      <c r="N895" s="4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9"/>
      <c r="BJ895" s="19">
        <f t="shared" si="156"/>
        <v>0</v>
      </c>
      <c r="BK895" s="6"/>
      <c r="BL895" s="6"/>
      <c r="BM895" s="6"/>
      <c r="BN895" s="6"/>
      <c r="BO895" s="6"/>
    </row>
    <row r="896" spans="1:67" ht="13.4" customHeight="1">
      <c r="A896" s="6"/>
      <c r="B896" s="6"/>
      <c r="C896" s="6"/>
      <c r="D896" s="6"/>
      <c r="E896" s="6"/>
      <c r="F896" s="6"/>
      <c r="G896" s="6"/>
      <c r="H896" s="4"/>
      <c r="I896" s="4"/>
      <c r="J896" s="4"/>
      <c r="K896" s="4"/>
      <c r="L896" s="4"/>
      <c r="M896" s="4"/>
      <c r="N896" s="4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9"/>
      <c r="BJ896" s="19">
        <f t="shared" si="156"/>
        <v>0</v>
      </c>
      <c r="BK896" s="6"/>
      <c r="BL896" s="6"/>
      <c r="BM896" s="6"/>
      <c r="BN896" s="6"/>
      <c r="BO896" s="6"/>
    </row>
    <row r="897" spans="1:67" ht="13.4" customHeight="1">
      <c r="A897" s="6"/>
      <c r="B897" s="6"/>
      <c r="C897" s="6"/>
      <c r="D897" s="6"/>
      <c r="E897" s="6"/>
      <c r="F897" s="6"/>
      <c r="G897" s="6"/>
      <c r="H897" s="4"/>
      <c r="I897" s="4"/>
      <c r="J897" s="4"/>
      <c r="K897" s="4"/>
      <c r="L897" s="4"/>
      <c r="M897" s="4"/>
      <c r="N897" s="4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9"/>
      <c r="BJ897" s="19">
        <f t="shared" si="156"/>
        <v>0</v>
      </c>
      <c r="BK897" s="6"/>
      <c r="BL897" s="6"/>
      <c r="BM897" s="6"/>
      <c r="BN897" s="6"/>
      <c r="BO897" s="6"/>
    </row>
    <row r="898" spans="1:67" ht="13.4" customHeight="1">
      <c r="A898" s="6"/>
      <c r="B898" s="6"/>
      <c r="C898" s="6"/>
      <c r="D898" s="6"/>
      <c r="E898" s="6"/>
      <c r="F898" s="6"/>
      <c r="G898" s="6"/>
      <c r="H898" s="4"/>
      <c r="I898" s="4"/>
      <c r="J898" s="4"/>
      <c r="K898" s="4"/>
      <c r="L898" s="4"/>
      <c r="M898" s="4"/>
      <c r="N898" s="4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9"/>
      <c r="BJ898" s="19">
        <f t="shared" si="156"/>
        <v>0</v>
      </c>
      <c r="BK898" s="6"/>
      <c r="BL898" s="6"/>
      <c r="BM898" s="6"/>
      <c r="BN898" s="6"/>
      <c r="BO898" s="6"/>
    </row>
    <row r="899" spans="1:67" ht="13.4" customHeight="1">
      <c r="A899" s="6"/>
      <c r="B899" s="6"/>
      <c r="C899" s="6"/>
      <c r="D899" s="6"/>
      <c r="E899" s="6"/>
      <c r="F899" s="6"/>
      <c r="G899" s="6"/>
      <c r="H899" s="4"/>
      <c r="I899" s="4"/>
      <c r="J899" s="4"/>
      <c r="K899" s="4"/>
      <c r="L899" s="4"/>
      <c r="M899" s="4"/>
      <c r="N899" s="4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9"/>
      <c r="BJ899" s="19">
        <f t="shared" ref="BJ899:BJ962" si="157">A899</f>
        <v>0</v>
      </c>
      <c r="BK899" s="6"/>
      <c r="BL899" s="6"/>
      <c r="BM899" s="6"/>
      <c r="BN899" s="6"/>
      <c r="BO899" s="6"/>
    </row>
    <row r="900" spans="1:67" ht="13.4" customHeight="1">
      <c r="A900" s="6"/>
      <c r="B900" s="6"/>
      <c r="C900" s="6"/>
      <c r="D900" s="6"/>
      <c r="E900" s="6"/>
      <c r="F900" s="6"/>
      <c r="G900" s="6"/>
      <c r="H900" s="4"/>
      <c r="I900" s="4"/>
      <c r="J900" s="4"/>
      <c r="K900" s="4"/>
      <c r="L900" s="4"/>
      <c r="M900" s="4"/>
      <c r="N900" s="4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9"/>
      <c r="BJ900" s="19">
        <f t="shared" si="157"/>
        <v>0</v>
      </c>
      <c r="BK900" s="6"/>
      <c r="BL900" s="6"/>
      <c r="BM900" s="6"/>
      <c r="BN900" s="6"/>
      <c r="BO900" s="6"/>
    </row>
    <row r="901" spans="1:67" ht="13.4" customHeight="1">
      <c r="A901" s="6"/>
      <c r="B901" s="6"/>
      <c r="C901" s="6"/>
      <c r="D901" s="6"/>
      <c r="E901" s="6"/>
      <c r="F901" s="6"/>
      <c r="G901" s="6"/>
      <c r="H901" s="4"/>
      <c r="I901" s="4"/>
      <c r="J901" s="4"/>
      <c r="K901" s="4"/>
      <c r="L901" s="4"/>
      <c r="M901" s="4"/>
      <c r="N901" s="4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9"/>
      <c r="BJ901" s="19">
        <f t="shared" si="157"/>
        <v>0</v>
      </c>
      <c r="BK901" s="6"/>
      <c r="BL901" s="6"/>
      <c r="BM901" s="6"/>
      <c r="BN901" s="6"/>
      <c r="BO901" s="6"/>
    </row>
    <row r="902" spans="1:67" ht="13.4" customHeight="1">
      <c r="A902" s="6"/>
      <c r="B902" s="6"/>
      <c r="C902" s="6"/>
      <c r="D902" s="6"/>
      <c r="E902" s="6"/>
      <c r="F902" s="6"/>
      <c r="G902" s="6"/>
      <c r="H902" s="4"/>
      <c r="I902" s="4"/>
      <c r="J902" s="4"/>
      <c r="K902" s="4"/>
      <c r="L902" s="4"/>
      <c r="M902" s="4"/>
      <c r="N902" s="4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9"/>
      <c r="BJ902" s="19">
        <f t="shared" si="157"/>
        <v>0</v>
      </c>
      <c r="BK902" s="6"/>
      <c r="BL902" s="6"/>
      <c r="BM902" s="6"/>
      <c r="BN902" s="6"/>
      <c r="BO902" s="6"/>
    </row>
    <row r="903" spans="1:67" ht="13.4" customHeight="1">
      <c r="A903" s="6"/>
      <c r="B903" s="6"/>
      <c r="C903" s="6"/>
      <c r="D903" s="6"/>
      <c r="E903" s="6"/>
      <c r="F903" s="6"/>
      <c r="G903" s="6"/>
      <c r="H903" s="4"/>
      <c r="I903" s="4"/>
      <c r="J903" s="4"/>
      <c r="K903" s="4"/>
      <c r="L903" s="4"/>
      <c r="M903" s="4"/>
      <c r="N903" s="4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9"/>
      <c r="BJ903" s="19">
        <f t="shared" si="157"/>
        <v>0</v>
      </c>
      <c r="BK903" s="6"/>
      <c r="BL903" s="6"/>
      <c r="BM903" s="6"/>
      <c r="BN903" s="6"/>
      <c r="BO903" s="6"/>
    </row>
    <row r="904" spans="1:67" ht="13.4" customHeight="1">
      <c r="A904" s="6"/>
      <c r="B904" s="6"/>
      <c r="C904" s="6"/>
      <c r="D904" s="6"/>
      <c r="E904" s="6"/>
      <c r="F904" s="6"/>
      <c r="G904" s="6"/>
      <c r="H904" s="4"/>
      <c r="I904" s="4"/>
      <c r="J904" s="4"/>
      <c r="K904" s="4"/>
      <c r="L904" s="4"/>
      <c r="M904" s="4"/>
      <c r="N904" s="4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9"/>
      <c r="BJ904" s="19">
        <f t="shared" si="157"/>
        <v>0</v>
      </c>
      <c r="BK904" s="6"/>
      <c r="BL904" s="6"/>
      <c r="BM904" s="6"/>
      <c r="BN904" s="6"/>
      <c r="BO904" s="6"/>
    </row>
    <row r="905" spans="1:67" ht="13.4" customHeight="1">
      <c r="A905" s="6"/>
      <c r="B905" s="6"/>
      <c r="C905" s="6"/>
      <c r="D905" s="6"/>
      <c r="E905" s="6"/>
      <c r="F905" s="6"/>
      <c r="G905" s="6"/>
      <c r="H905" s="4"/>
      <c r="I905" s="4"/>
      <c r="J905" s="4"/>
      <c r="K905" s="4"/>
      <c r="L905" s="4"/>
      <c r="M905" s="4"/>
      <c r="N905" s="4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9"/>
      <c r="BJ905" s="19">
        <f t="shared" si="157"/>
        <v>0</v>
      </c>
      <c r="BK905" s="6"/>
      <c r="BL905" s="6"/>
      <c r="BM905" s="6"/>
      <c r="BN905" s="6"/>
      <c r="BO905" s="6"/>
    </row>
    <row r="906" spans="1:67" ht="13.4" customHeight="1">
      <c r="A906" s="6"/>
      <c r="B906" s="6"/>
      <c r="C906" s="6"/>
      <c r="D906" s="6"/>
      <c r="E906" s="6"/>
      <c r="F906" s="6"/>
      <c r="G906" s="6"/>
      <c r="H906" s="4"/>
      <c r="I906" s="4"/>
      <c r="J906" s="4"/>
      <c r="K906" s="4"/>
      <c r="L906" s="4"/>
      <c r="M906" s="4"/>
      <c r="N906" s="4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9"/>
      <c r="BJ906" s="19">
        <f t="shared" si="157"/>
        <v>0</v>
      </c>
      <c r="BK906" s="6"/>
      <c r="BL906" s="6"/>
      <c r="BM906" s="6"/>
      <c r="BN906" s="6"/>
      <c r="BO906" s="6"/>
    </row>
    <row r="907" spans="1:67" ht="13.4" customHeight="1">
      <c r="A907" s="6"/>
      <c r="B907" s="6"/>
      <c r="C907" s="6"/>
      <c r="D907" s="6"/>
      <c r="E907" s="6"/>
      <c r="F907" s="6"/>
      <c r="G907" s="6"/>
      <c r="H907" s="4"/>
      <c r="I907" s="4"/>
      <c r="J907" s="4"/>
      <c r="K907" s="4"/>
      <c r="L907" s="4"/>
      <c r="M907" s="4"/>
      <c r="N907" s="4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9"/>
      <c r="BJ907" s="19">
        <f t="shared" si="157"/>
        <v>0</v>
      </c>
      <c r="BK907" s="6"/>
      <c r="BL907" s="6"/>
      <c r="BM907" s="6"/>
      <c r="BN907" s="6"/>
      <c r="BO907" s="6"/>
    </row>
    <row r="908" spans="1:67" ht="13.4" customHeight="1">
      <c r="A908" s="6"/>
      <c r="B908" s="6"/>
      <c r="C908" s="6"/>
      <c r="D908" s="6"/>
      <c r="E908" s="6"/>
      <c r="F908" s="6"/>
      <c r="G908" s="6"/>
      <c r="H908" s="4"/>
      <c r="I908" s="4"/>
      <c r="J908" s="4"/>
      <c r="K908" s="4"/>
      <c r="L908" s="4"/>
      <c r="M908" s="4"/>
      <c r="N908" s="4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9"/>
      <c r="BJ908" s="19">
        <f t="shared" si="157"/>
        <v>0</v>
      </c>
      <c r="BK908" s="6"/>
      <c r="BL908" s="6"/>
      <c r="BM908" s="6"/>
      <c r="BN908" s="6"/>
      <c r="BO908" s="6"/>
    </row>
    <row r="909" spans="1:67" ht="13.4" customHeight="1">
      <c r="A909" s="6"/>
      <c r="B909" s="6"/>
      <c r="C909" s="6"/>
      <c r="D909" s="6"/>
      <c r="E909" s="6"/>
      <c r="F909" s="6"/>
      <c r="G909" s="6"/>
      <c r="H909" s="4"/>
      <c r="I909" s="4"/>
      <c r="J909" s="4"/>
      <c r="K909" s="4"/>
      <c r="L909" s="4"/>
      <c r="M909" s="4"/>
      <c r="N909" s="4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9"/>
      <c r="BJ909" s="19">
        <f t="shared" si="157"/>
        <v>0</v>
      </c>
      <c r="BK909" s="6"/>
      <c r="BL909" s="6"/>
      <c r="BM909" s="6"/>
      <c r="BN909" s="6"/>
      <c r="BO909" s="6"/>
    </row>
    <row r="910" spans="1:67" ht="13.4" customHeight="1">
      <c r="A910" s="6"/>
      <c r="B910" s="6"/>
      <c r="C910" s="6"/>
      <c r="D910" s="6"/>
      <c r="E910" s="6"/>
      <c r="F910" s="6"/>
      <c r="G910" s="6"/>
      <c r="H910" s="4"/>
      <c r="I910" s="4"/>
      <c r="J910" s="4"/>
      <c r="K910" s="4"/>
      <c r="L910" s="4"/>
      <c r="M910" s="4"/>
      <c r="N910" s="4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9"/>
      <c r="BJ910" s="19">
        <f t="shared" si="157"/>
        <v>0</v>
      </c>
      <c r="BK910" s="6"/>
      <c r="BL910" s="6"/>
      <c r="BM910" s="6"/>
      <c r="BN910" s="6"/>
      <c r="BO910" s="6"/>
    </row>
    <row r="911" spans="1:67" ht="13.4" customHeight="1">
      <c r="A911" s="6"/>
      <c r="B911" s="6"/>
      <c r="C911" s="6"/>
      <c r="D911" s="6"/>
      <c r="E911" s="6"/>
      <c r="F911" s="6"/>
      <c r="G911" s="6"/>
      <c r="H911" s="4"/>
      <c r="I911" s="4"/>
      <c r="J911" s="4"/>
      <c r="K911" s="4"/>
      <c r="L911" s="4"/>
      <c r="M911" s="4"/>
      <c r="N911" s="4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9"/>
      <c r="BJ911" s="19">
        <f t="shared" si="157"/>
        <v>0</v>
      </c>
      <c r="BK911" s="6"/>
      <c r="BL911" s="6"/>
      <c r="BM911" s="6"/>
      <c r="BN911" s="6"/>
      <c r="BO911" s="6"/>
    </row>
    <row r="912" spans="1:67" ht="13.4" customHeight="1">
      <c r="A912" s="6"/>
      <c r="B912" s="6"/>
      <c r="C912" s="6"/>
      <c r="D912" s="6"/>
      <c r="E912" s="6"/>
      <c r="F912" s="6"/>
      <c r="G912" s="6"/>
      <c r="H912" s="4"/>
      <c r="I912" s="4"/>
      <c r="J912" s="4"/>
      <c r="K912" s="4"/>
      <c r="L912" s="4"/>
      <c r="M912" s="4"/>
      <c r="N912" s="4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9"/>
      <c r="BJ912" s="19">
        <f t="shared" si="157"/>
        <v>0</v>
      </c>
      <c r="BK912" s="6"/>
      <c r="BL912" s="6"/>
      <c r="BM912" s="6"/>
      <c r="BN912" s="6"/>
      <c r="BO912" s="6"/>
    </row>
    <row r="913" spans="1:67" ht="13.4" customHeight="1">
      <c r="A913" s="6"/>
      <c r="B913" s="6"/>
      <c r="C913" s="6"/>
      <c r="D913" s="6"/>
      <c r="E913" s="6"/>
      <c r="F913" s="6"/>
      <c r="G913" s="6"/>
      <c r="H913" s="4"/>
      <c r="I913" s="4"/>
      <c r="J913" s="4"/>
      <c r="K913" s="4"/>
      <c r="L913" s="4"/>
      <c r="M913" s="4"/>
      <c r="N913" s="4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9"/>
      <c r="BJ913" s="19">
        <f t="shared" si="157"/>
        <v>0</v>
      </c>
      <c r="BK913" s="6"/>
      <c r="BL913" s="6"/>
      <c r="BM913" s="6"/>
      <c r="BN913" s="6"/>
      <c r="BO913" s="6"/>
    </row>
    <row r="914" spans="1:67" ht="13.4" customHeight="1">
      <c r="A914" s="6"/>
      <c r="B914" s="6"/>
      <c r="C914" s="6"/>
      <c r="D914" s="6"/>
      <c r="E914" s="6"/>
      <c r="F914" s="6"/>
      <c r="G914" s="6"/>
      <c r="H914" s="4"/>
      <c r="I914" s="4"/>
      <c r="J914" s="4"/>
      <c r="K914" s="4"/>
      <c r="L914" s="4"/>
      <c r="M914" s="4"/>
      <c r="N914" s="4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9"/>
      <c r="BJ914" s="19">
        <f t="shared" si="157"/>
        <v>0</v>
      </c>
      <c r="BK914" s="6"/>
      <c r="BL914" s="6"/>
      <c r="BM914" s="6"/>
      <c r="BN914" s="6"/>
      <c r="BO914" s="6"/>
    </row>
    <row r="915" spans="1:67" ht="13.4" customHeight="1">
      <c r="A915" s="6"/>
      <c r="B915" s="6"/>
      <c r="C915" s="6"/>
      <c r="D915" s="6"/>
      <c r="E915" s="6"/>
      <c r="F915" s="6"/>
      <c r="G915" s="6"/>
      <c r="H915" s="4"/>
      <c r="I915" s="4"/>
      <c r="J915" s="4"/>
      <c r="K915" s="4"/>
      <c r="L915" s="4"/>
      <c r="M915" s="4"/>
      <c r="N915" s="4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9"/>
      <c r="BJ915" s="19">
        <f t="shared" si="157"/>
        <v>0</v>
      </c>
      <c r="BK915" s="6"/>
      <c r="BL915" s="6"/>
      <c r="BM915" s="6"/>
      <c r="BN915" s="6"/>
      <c r="BO915" s="6"/>
    </row>
    <row r="916" spans="1:67" ht="13.4" customHeight="1">
      <c r="A916" s="6"/>
      <c r="B916" s="6"/>
      <c r="C916" s="6"/>
      <c r="D916" s="6"/>
      <c r="E916" s="6"/>
      <c r="F916" s="6"/>
      <c r="G916" s="6"/>
      <c r="H916" s="4"/>
      <c r="I916" s="4"/>
      <c r="J916" s="4"/>
      <c r="K916" s="4"/>
      <c r="L916" s="4"/>
      <c r="M916" s="4"/>
      <c r="N916" s="4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9"/>
      <c r="BJ916" s="19">
        <f t="shared" si="157"/>
        <v>0</v>
      </c>
      <c r="BK916" s="6"/>
      <c r="BL916" s="6"/>
      <c r="BM916" s="6"/>
      <c r="BN916" s="6"/>
      <c r="BO916" s="6"/>
    </row>
    <row r="917" spans="1:67" ht="13.4" customHeight="1">
      <c r="A917" s="6"/>
      <c r="B917" s="6"/>
      <c r="C917" s="6"/>
      <c r="D917" s="6"/>
      <c r="E917" s="6"/>
      <c r="F917" s="6"/>
      <c r="G917" s="6"/>
      <c r="H917" s="4"/>
      <c r="I917" s="4"/>
      <c r="J917" s="4"/>
      <c r="K917" s="4"/>
      <c r="L917" s="4"/>
      <c r="M917" s="4"/>
      <c r="N917" s="4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9"/>
      <c r="BJ917" s="19">
        <f t="shared" si="157"/>
        <v>0</v>
      </c>
      <c r="BK917" s="6"/>
      <c r="BL917" s="6"/>
      <c r="BM917" s="6"/>
      <c r="BN917" s="6"/>
      <c r="BO917" s="6"/>
    </row>
    <row r="918" spans="1:67" ht="13.4" customHeight="1">
      <c r="A918" s="6"/>
      <c r="B918" s="6"/>
      <c r="C918" s="6"/>
      <c r="D918" s="6"/>
      <c r="E918" s="6"/>
      <c r="F918" s="6"/>
      <c r="G918" s="6"/>
      <c r="H918" s="4"/>
      <c r="I918" s="4"/>
      <c r="J918" s="4"/>
      <c r="K918" s="4"/>
      <c r="L918" s="4"/>
      <c r="M918" s="4"/>
      <c r="N918" s="4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9"/>
      <c r="BJ918" s="19">
        <f t="shared" si="157"/>
        <v>0</v>
      </c>
      <c r="BK918" s="6"/>
      <c r="BL918" s="6"/>
      <c r="BM918" s="6"/>
      <c r="BN918" s="6"/>
      <c r="BO918" s="6"/>
    </row>
    <row r="919" spans="1:67" ht="13.4" customHeight="1">
      <c r="A919" s="6"/>
      <c r="B919" s="6"/>
      <c r="C919" s="6"/>
      <c r="D919" s="6"/>
      <c r="E919" s="6"/>
      <c r="F919" s="6"/>
      <c r="G919" s="6"/>
      <c r="H919" s="4"/>
      <c r="I919" s="4"/>
      <c r="J919" s="4"/>
      <c r="K919" s="4"/>
      <c r="L919" s="4"/>
      <c r="M919" s="4"/>
      <c r="N919" s="4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9"/>
      <c r="BJ919" s="19">
        <f t="shared" si="157"/>
        <v>0</v>
      </c>
      <c r="BK919" s="6"/>
      <c r="BL919" s="6"/>
      <c r="BM919" s="6"/>
      <c r="BN919" s="6"/>
      <c r="BO919" s="6"/>
    </row>
    <row r="920" spans="1:67" ht="13.4" customHeight="1">
      <c r="A920" s="6"/>
      <c r="B920" s="6"/>
      <c r="C920" s="6"/>
      <c r="D920" s="6"/>
      <c r="E920" s="6"/>
      <c r="F920" s="6"/>
      <c r="G920" s="6"/>
      <c r="H920" s="4"/>
      <c r="I920" s="4"/>
      <c r="J920" s="4"/>
      <c r="K920" s="4"/>
      <c r="L920" s="4"/>
      <c r="M920" s="4"/>
      <c r="N920" s="4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9"/>
      <c r="BJ920" s="19">
        <f t="shared" si="157"/>
        <v>0</v>
      </c>
      <c r="BK920" s="6"/>
      <c r="BL920" s="6"/>
      <c r="BM920" s="6"/>
      <c r="BN920" s="6"/>
      <c r="BO920" s="6"/>
    </row>
    <row r="921" spans="1:67" ht="13.4" customHeight="1">
      <c r="A921" s="6"/>
      <c r="B921" s="6"/>
      <c r="C921" s="6"/>
      <c r="D921" s="6"/>
      <c r="E921" s="6"/>
      <c r="F921" s="6"/>
      <c r="G921" s="6"/>
      <c r="H921" s="4"/>
      <c r="I921" s="4"/>
      <c r="J921" s="4"/>
      <c r="K921" s="4"/>
      <c r="L921" s="4"/>
      <c r="M921" s="4"/>
      <c r="N921" s="4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9"/>
      <c r="BJ921" s="19">
        <f t="shared" si="157"/>
        <v>0</v>
      </c>
      <c r="BK921" s="6"/>
      <c r="BL921" s="6"/>
      <c r="BM921" s="6"/>
      <c r="BN921" s="6"/>
      <c r="BO921" s="6"/>
    </row>
    <row r="922" spans="1:67" ht="13.4" customHeight="1">
      <c r="A922" s="6"/>
      <c r="B922" s="6"/>
      <c r="C922" s="6"/>
      <c r="D922" s="6"/>
      <c r="E922" s="6"/>
      <c r="F922" s="6"/>
      <c r="G922" s="6"/>
      <c r="H922" s="4"/>
      <c r="I922" s="4"/>
      <c r="J922" s="4"/>
      <c r="K922" s="4"/>
      <c r="L922" s="4"/>
      <c r="M922" s="4"/>
      <c r="N922" s="4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9"/>
      <c r="BJ922" s="19">
        <f t="shared" si="157"/>
        <v>0</v>
      </c>
      <c r="BK922" s="6"/>
      <c r="BL922" s="6"/>
      <c r="BM922" s="6"/>
      <c r="BN922" s="6"/>
      <c r="BO922" s="6"/>
    </row>
    <row r="923" spans="1:67" ht="13.4" customHeight="1">
      <c r="A923" s="6"/>
      <c r="B923" s="6"/>
      <c r="C923" s="6"/>
      <c r="D923" s="6"/>
      <c r="E923" s="6"/>
      <c r="F923" s="6"/>
      <c r="G923" s="6"/>
      <c r="H923" s="4"/>
      <c r="I923" s="4"/>
      <c r="J923" s="4"/>
      <c r="K923" s="4"/>
      <c r="L923" s="4"/>
      <c r="M923" s="4"/>
      <c r="N923" s="4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9"/>
      <c r="BJ923" s="19">
        <f t="shared" si="157"/>
        <v>0</v>
      </c>
      <c r="BK923" s="6"/>
      <c r="BL923" s="6"/>
      <c r="BM923" s="6"/>
      <c r="BN923" s="6"/>
      <c r="BO923" s="6"/>
    </row>
    <row r="924" spans="1:67" ht="13.4" customHeight="1">
      <c r="A924" s="6"/>
      <c r="B924" s="6"/>
      <c r="C924" s="6"/>
      <c r="D924" s="6"/>
      <c r="E924" s="6"/>
      <c r="F924" s="6"/>
      <c r="G924" s="6"/>
      <c r="H924" s="4"/>
      <c r="I924" s="4"/>
      <c r="J924" s="4"/>
      <c r="K924" s="4"/>
      <c r="L924" s="4"/>
      <c r="M924" s="4"/>
      <c r="N924" s="4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9"/>
      <c r="BJ924" s="19">
        <f t="shared" si="157"/>
        <v>0</v>
      </c>
      <c r="BK924" s="6"/>
      <c r="BL924" s="6"/>
      <c r="BM924" s="6"/>
      <c r="BN924" s="6"/>
      <c r="BO924" s="6"/>
    </row>
    <row r="925" spans="1:67" ht="13.4" customHeight="1">
      <c r="A925" s="6"/>
      <c r="B925" s="6"/>
      <c r="C925" s="6"/>
      <c r="D925" s="6"/>
      <c r="E925" s="6"/>
      <c r="F925" s="6"/>
      <c r="G925" s="6"/>
      <c r="H925" s="4"/>
      <c r="I925" s="4"/>
      <c r="J925" s="4"/>
      <c r="K925" s="4"/>
      <c r="L925" s="4"/>
      <c r="M925" s="4"/>
      <c r="N925" s="4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9"/>
      <c r="BJ925" s="19">
        <f t="shared" si="157"/>
        <v>0</v>
      </c>
      <c r="BK925" s="6"/>
      <c r="BL925" s="6"/>
      <c r="BM925" s="6"/>
      <c r="BN925" s="6"/>
      <c r="BO925" s="6"/>
    </row>
    <row r="926" spans="1:67" ht="13.4" customHeight="1">
      <c r="A926" s="6"/>
      <c r="B926" s="6"/>
      <c r="C926" s="6"/>
      <c r="D926" s="6"/>
      <c r="E926" s="6"/>
      <c r="F926" s="6"/>
      <c r="G926" s="6"/>
      <c r="H926" s="4"/>
      <c r="I926" s="4"/>
      <c r="J926" s="4"/>
      <c r="K926" s="4"/>
      <c r="L926" s="4"/>
      <c r="M926" s="4"/>
      <c r="N926" s="4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9"/>
      <c r="BJ926" s="19">
        <f t="shared" si="157"/>
        <v>0</v>
      </c>
      <c r="BK926" s="6"/>
      <c r="BL926" s="6"/>
      <c r="BM926" s="6"/>
      <c r="BN926" s="6"/>
      <c r="BO926" s="6"/>
    </row>
    <row r="927" spans="1:67" ht="13.4" customHeight="1">
      <c r="A927" s="6"/>
      <c r="B927" s="6"/>
      <c r="C927" s="6"/>
      <c r="D927" s="6"/>
      <c r="E927" s="6"/>
      <c r="F927" s="6"/>
      <c r="G927" s="6"/>
      <c r="H927" s="4"/>
      <c r="I927" s="4"/>
      <c r="J927" s="4"/>
      <c r="K927" s="4"/>
      <c r="L927" s="4"/>
      <c r="M927" s="4"/>
      <c r="N927" s="4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9"/>
      <c r="BJ927" s="19">
        <f t="shared" si="157"/>
        <v>0</v>
      </c>
      <c r="BK927" s="6"/>
      <c r="BL927" s="6"/>
      <c r="BM927" s="6"/>
      <c r="BN927" s="6"/>
      <c r="BO927" s="6"/>
    </row>
    <row r="928" spans="1:67" ht="13.4" customHeight="1">
      <c r="A928" s="6"/>
      <c r="B928" s="6"/>
      <c r="C928" s="6"/>
      <c r="D928" s="6"/>
      <c r="E928" s="6"/>
      <c r="F928" s="6"/>
      <c r="G928" s="6"/>
      <c r="H928" s="4"/>
      <c r="I928" s="4"/>
      <c r="J928" s="4"/>
      <c r="K928" s="4"/>
      <c r="L928" s="4"/>
      <c r="M928" s="4"/>
      <c r="N928" s="4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9"/>
      <c r="BJ928" s="19">
        <f t="shared" si="157"/>
        <v>0</v>
      </c>
      <c r="BK928" s="6"/>
      <c r="BL928" s="6"/>
      <c r="BM928" s="6"/>
      <c r="BN928" s="6"/>
      <c r="BO928" s="6"/>
    </row>
    <row r="929" spans="1:67" ht="13.4" customHeight="1">
      <c r="A929" s="6"/>
      <c r="B929" s="6"/>
      <c r="C929" s="6"/>
      <c r="D929" s="6"/>
      <c r="E929" s="6"/>
      <c r="F929" s="6"/>
      <c r="G929" s="6"/>
      <c r="H929" s="4"/>
      <c r="I929" s="4"/>
      <c r="J929" s="4"/>
      <c r="K929" s="4"/>
      <c r="L929" s="4"/>
      <c r="M929" s="4"/>
      <c r="N929" s="4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9"/>
      <c r="BJ929" s="19">
        <f t="shared" si="157"/>
        <v>0</v>
      </c>
      <c r="BK929" s="6"/>
      <c r="BL929" s="6"/>
      <c r="BM929" s="6"/>
      <c r="BN929" s="6"/>
      <c r="BO929" s="6"/>
    </row>
    <row r="930" spans="1:67" ht="13.4" customHeight="1">
      <c r="A930" s="6"/>
      <c r="B930" s="6"/>
      <c r="C930" s="6"/>
      <c r="D930" s="6"/>
      <c r="E930" s="6"/>
      <c r="F930" s="6"/>
      <c r="G930" s="6"/>
      <c r="H930" s="4"/>
      <c r="I930" s="4"/>
      <c r="J930" s="4"/>
      <c r="K930" s="4"/>
      <c r="L930" s="4"/>
      <c r="M930" s="4"/>
      <c r="N930" s="4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9"/>
      <c r="BJ930" s="19">
        <f t="shared" si="157"/>
        <v>0</v>
      </c>
      <c r="BK930" s="6"/>
      <c r="BL930" s="6"/>
      <c r="BM930" s="6"/>
      <c r="BN930" s="6"/>
      <c r="BO930" s="6"/>
    </row>
    <row r="931" spans="1:67" ht="13.4" customHeight="1">
      <c r="A931" s="6"/>
      <c r="B931" s="6"/>
      <c r="C931" s="6"/>
      <c r="D931" s="6"/>
      <c r="E931" s="6"/>
      <c r="F931" s="6"/>
      <c r="G931" s="6"/>
      <c r="H931" s="4"/>
      <c r="I931" s="4"/>
      <c r="J931" s="4"/>
      <c r="K931" s="4"/>
      <c r="L931" s="4"/>
      <c r="M931" s="4"/>
      <c r="N931" s="4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9"/>
      <c r="BJ931" s="19">
        <f t="shared" si="157"/>
        <v>0</v>
      </c>
      <c r="BK931" s="6"/>
      <c r="BL931" s="6"/>
      <c r="BM931" s="6"/>
      <c r="BN931" s="6"/>
      <c r="BO931" s="6"/>
    </row>
    <row r="932" spans="1:67" ht="13.4" customHeight="1">
      <c r="A932" s="6"/>
      <c r="B932" s="6"/>
      <c r="C932" s="6"/>
      <c r="D932" s="6"/>
      <c r="E932" s="6"/>
      <c r="F932" s="6"/>
      <c r="G932" s="6"/>
      <c r="H932" s="4"/>
      <c r="I932" s="4"/>
      <c r="J932" s="4"/>
      <c r="K932" s="4"/>
      <c r="L932" s="4"/>
      <c r="M932" s="4"/>
      <c r="N932" s="4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9"/>
      <c r="BJ932" s="19">
        <f t="shared" si="157"/>
        <v>0</v>
      </c>
      <c r="BK932" s="6"/>
      <c r="BL932" s="6"/>
      <c r="BM932" s="6"/>
      <c r="BN932" s="6"/>
      <c r="BO932" s="6"/>
    </row>
    <row r="933" spans="1:67" ht="13.4" customHeight="1">
      <c r="A933" s="6"/>
      <c r="B933" s="6"/>
      <c r="C933" s="6"/>
      <c r="D933" s="6"/>
      <c r="E933" s="6"/>
      <c r="F933" s="6"/>
      <c r="G933" s="6"/>
      <c r="H933" s="4"/>
      <c r="I933" s="4"/>
      <c r="J933" s="4"/>
      <c r="K933" s="4"/>
      <c r="L933" s="4"/>
      <c r="M933" s="4"/>
      <c r="N933" s="4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9"/>
      <c r="BJ933" s="19">
        <f t="shared" si="157"/>
        <v>0</v>
      </c>
      <c r="BK933" s="6"/>
      <c r="BL933" s="6"/>
      <c r="BM933" s="6"/>
      <c r="BN933" s="6"/>
      <c r="BO933" s="6"/>
    </row>
    <row r="934" spans="1:67" ht="13.4" customHeight="1">
      <c r="A934" s="6"/>
      <c r="B934" s="6"/>
      <c r="C934" s="6"/>
      <c r="D934" s="6"/>
      <c r="E934" s="6"/>
      <c r="F934" s="6"/>
      <c r="G934" s="6"/>
      <c r="H934" s="4"/>
      <c r="I934" s="4"/>
      <c r="J934" s="4"/>
      <c r="K934" s="4"/>
      <c r="L934" s="4"/>
      <c r="M934" s="4"/>
      <c r="N934" s="4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9"/>
      <c r="BJ934" s="19">
        <f t="shared" si="157"/>
        <v>0</v>
      </c>
      <c r="BK934" s="6"/>
      <c r="BL934" s="6"/>
      <c r="BM934" s="6"/>
      <c r="BN934" s="6"/>
      <c r="BO934" s="6"/>
    </row>
    <row r="935" spans="1:67" ht="13.4" customHeight="1">
      <c r="A935" s="6"/>
      <c r="B935" s="6"/>
      <c r="C935" s="6"/>
      <c r="D935" s="6"/>
      <c r="E935" s="6"/>
      <c r="F935" s="6"/>
      <c r="G935" s="6"/>
      <c r="H935" s="4"/>
      <c r="I935" s="4"/>
      <c r="J935" s="4"/>
      <c r="K935" s="4"/>
      <c r="L935" s="4"/>
      <c r="M935" s="4"/>
      <c r="N935" s="4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9"/>
      <c r="BJ935" s="19">
        <f t="shared" si="157"/>
        <v>0</v>
      </c>
      <c r="BK935" s="6"/>
      <c r="BL935" s="6"/>
      <c r="BM935" s="6"/>
      <c r="BN935" s="6"/>
      <c r="BO935" s="6"/>
    </row>
    <row r="936" spans="1:67" ht="13.4" customHeight="1">
      <c r="A936" s="6"/>
      <c r="B936" s="6"/>
      <c r="C936" s="6"/>
      <c r="D936" s="6"/>
      <c r="E936" s="6"/>
      <c r="F936" s="6"/>
      <c r="G936" s="6"/>
      <c r="H936" s="4"/>
      <c r="I936" s="4"/>
      <c r="J936" s="4"/>
      <c r="K936" s="4"/>
      <c r="L936" s="4"/>
      <c r="M936" s="4"/>
      <c r="N936" s="4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9"/>
      <c r="BJ936" s="19">
        <f t="shared" si="157"/>
        <v>0</v>
      </c>
      <c r="BK936" s="6"/>
      <c r="BL936" s="6"/>
      <c r="BM936" s="6"/>
      <c r="BN936" s="6"/>
      <c r="BO936" s="6"/>
    </row>
    <row r="937" spans="1:67" ht="13.4" customHeight="1">
      <c r="A937" s="6"/>
      <c r="B937" s="6"/>
      <c r="C937" s="6"/>
      <c r="D937" s="6"/>
      <c r="E937" s="6"/>
      <c r="F937" s="6"/>
      <c r="G937" s="6"/>
      <c r="H937" s="4"/>
      <c r="I937" s="4"/>
      <c r="J937" s="4"/>
      <c r="K937" s="4"/>
      <c r="L937" s="4"/>
      <c r="M937" s="4"/>
      <c r="N937" s="4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9"/>
      <c r="BJ937" s="19">
        <f t="shared" si="157"/>
        <v>0</v>
      </c>
      <c r="BK937" s="6"/>
      <c r="BL937" s="6"/>
      <c r="BM937" s="6"/>
      <c r="BN937" s="6"/>
      <c r="BO937" s="6"/>
    </row>
    <row r="938" spans="1:67" ht="13.4" customHeight="1">
      <c r="A938" s="6"/>
      <c r="B938" s="6"/>
      <c r="C938" s="6"/>
      <c r="D938" s="6"/>
      <c r="E938" s="6"/>
      <c r="F938" s="6"/>
      <c r="G938" s="6"/>
      <c r="H938" s="4"/>
      <c r="I938" s="4"/>
      <c r="J938" s="4"/>
      <c r="K938" s="4"/>
      <c r="L938" s="4"/>
      <c r="M938" s="4"/>
      <c r="N938" s="4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9"/>
      <c r="BJ938" s="19">
        <f t="shared" si="157"/>
        <v>0</v>
      </c>
      <c r="BK938" s="6"/>
      <c r="BL938" s="6"/>
      <c r="BM938" s="6"/>
      <c r="BN938" s="6"/>
      <c r="BO938" s="6"/>
    </row>
    <row r="939" spans="1:67" ht="13.4" customHeight="1">
      <c r="A939" s="6"/>
      <c r="B939" s="6"/>
      <c r="C939" s="6"/>
      <c r="D939" s="6"/>
      <c r="E939" s="6"/>
      <c r="F939" s="6"/>
      <c r="G939" s="6"/>
      <c r="H939" s="4"/>
      <c r="I939" s="4"/>
      <c r="J939" s="4"/>
      <c r="K939" s="4"/>
      <c r="L939" s="4"/>
      <c r="M939" s="4"/>
      <c r="N939" s="4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9"/>
      <c r="BJ939" s="19">
        <f t="shared" si="157"/>
        <v>0</v>
      </c>
      <c r="BK939" s="6"/>
      <c r="BL939" s="6"/>
      <c r="BM939" s="6"/>
      <c r="BN939" s="6"/>
      <c r="BO939" s="6"/>
    </row>
    <row r="940" spans="1:67" ht="13.4" customHeight="1">
      <c r="A940" s="6"/>
      <c r="B940" s="6"/>
      <c r="C940" s="6"/>
      <c r="D940" s="6"/>
      <c r="E940" s="6"/>
      <c r="F940" s="6"/>
      <c r="G940" s="6"/>
      <c r="H940" s="4"/>
      <c r="I940" s="4"/>
      <c r="J940" s="4"/>
      <c r="K940" s="4"/>
      <c r="L940" s="4"/>
      <c r="M940" s="4"/>
      <c r="N940" s="4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9"/>
      <c r="BJ940" s="19">
        <f t="shared" si="157"/>
        <v>0</v>
      </c>
      <c r="BK940" s="6"/>
      <c r="BL940" s="6"/>
      <c r="BM940" s="6"/>
      <c r="BN940" s="6"/>
      <c r="BO940" s="6"/>
    </row>
    <row r="941" spans="1:67" ht="13.4" customHeight="1">
      <c r="A941" s="6"/>
      <c r="B941" s="6"/>
      <c r="C941" s="6"/>
      <c r="D941" s="6"/>
      <c r="E941" s="6"/>
      <c r="F941" s="6"/>
      <c r="G941" s="6"/>
      <c r="H941" s="4"/>
      <c r="I941" s="4"/>
      <c r="J941" s="4"/>
      <c r="K941" s="4"/>
      <c r="L941" s="4"/>
      <c r="M941" s="4"/>
      <c r="N941" s="4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9"/>
      <c r="BJ941" s="19">
        <f t="shared" si="157"/>
        <v>0</v>
      </c>
      <c r="BK941" s="6"/>
      <c r="BL941" s="6"/>
      <c r="BM941" s="6"/>
      <c r="BN941" s="6"/>
      <c r="BO941" s="6"/>
    </row>
    <row r="942" spans="1:67" ht="13.4" customHeight="1">
      <c r="A942" s="6"/>
      <c r="B942" s="6"/>
      <c r="C942" s="6"/>
      <c r="D942" s="6"/>
      <c r="E942" s="6"/>
      <c r="F942" s="6"/>
      <c r="G942" s="6"/>
      <c r="H942" s="4"/>
      <c r="I942" s="4"/>
      <c r="J942" s="4"/>
      <c r="K942" s="4"/>
      <c r="L942" s="4"/>
      <c r="M942" s="4"/>
      <c r="N942" s="4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9"/>
      <c r="BJ942" s="19">
        <f t="shared" si="157"/>
        <v>0</v>
      </c>
      <c r="BK942" s="6"/>
      <c r="BL942" s="6"/>
      <c r="BM942" s="6"/>
      <c r="BN942" s="6"/>
      <c r="BO942" s="6"/>
    </row>
    <row r="943" spans="1:67" ht="13.4" customHeight="1">
      <c r="A943" s="6"/>
      <c r="B943" s="6"/>
      <c r="C943" s="6"/>
      <c r="D943" s="6"/>
      <c r="E943" s="6"/>
      <c r="F943" s="6"/>
      <c r="G943" s="6"/>
      <c r="H943" s="4"/>
      <c r="I943" s="4"/>
      <c r="J943" s="4"/>
      <c r="K943" s="4"/>
      <c r="L943" s="4"/>
      <c r="M943" s="4"/>
      <c r="N943" s="4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9"/>
      <c r="BJ943" s="19">
        <f t="shared" si="157"/>
        <v>0</v>
      </c>
      <c r="BK943" s="6"/>
      <c r="BL943" s="6"/>
      <c r="BM943" s="6"/>
      <c r="BN943" s="6"/>
      <c r="BO943" s="6"/>
    </row>
    <row r="944" spans="1:67" ht="13.4" customHeight="1">
      <c r="A944" s="6"/>
      <c r="B944" s="6"/>
      <c r="C944" s="6"/>
      <c r="D944" s="6"/>
      <c r="E944" s="6"/>
      <c r="F944" s="6"/>
      <c r="G944" s="6"/>
      <c r="H944" s="4"/>
      <c r="I944" s="4"/>
      <c r="J944" s="4"/>
      <c r="K944" s="4"/>
      <c r="L944" s="4"/>
      <c r="M944" s="4"/>
      <c r="N944" s="4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9"/>
      <c r="BJ944" s="19">
        <f t="shared" si="157"/>
        <v>0</v>
      </c>
      <c r="BK944" s="6"/>
      <c r="BL944" s="6"/>
      <c r="BM944" s="6"/>
      <c r="BN944" s="6"/>
      <c r="BO944" s="6"/>
    </row>
    <row r="945" spans="1:67" ht="13.4" customHeight="1">
      <c r="A945" s="6"/>
      <c r="B945" s="6"/>
      <c r="C945" s="6"/>
      <c r="D945" s="6"/>
      <c r="E945" s="6"/>
      <c r="F945" s="6"/>
      <c r="G945" s="6"/>
      <c r="H945" s="4"/>
      <c r="I945" s="4"/>
      <c r="J945" s="4"/>
      <c r="K945" s="4"/>
      <c r="L945" s="4"/>
      <c r="M945" s="4"/>
      <c r="N945" s="4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9"/>
      <c r="BJ945" s="19">
        <f t="shared" si="157"/>
        <v>0</v>
      </c>
      <c r="BK945" s="6"/>
      <c r="BL945" s="6"/>
      <c r="BM945" s="6"/>
      <c r="BN945" s="6"/>
      <c r="BO945" s="6"/>
    </row>
    <row r="946" spans="1:67" ht="13.4" customHeight="1">
      <c r="A946" s="6"/>
      <c r="B946" s="6"/>
      <c r="C946" s="6"/>
      <c r="D946" s="6"/>
      <c r="E946" s="6"/>
      <c r="F946" s="6"/>
      <c r="G946" s="6"/>
      <c r="H946" s="4"/>
      <c r="I946" s="4"/>
      <c r="J946" s="4"/>
      <c r="K946" s="4"/>
      <c r="L946" s="4"/>
      <c r="M946" s="4"/>
      <c r="N946" s="4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9"/>
      <c r="BJ946" s="19">
        <f t="shared" si="157"/>
        <v>0</v>
      </c>
      <c r="BK946" s="6"/>
      <c r="BL946" s="6"/>
      <c r="BM946" s="6"/>
      <c r="BN946" s="6"/>
      <c r="BO946" s="6"/>
    </row>
    <row r="947" spans="1:67" ht="13.4" customHeight="1">
      <c r="A947" s="6"/>
      <c r="B947" s="6"/>
      <c r="C947" s="6"/>
      <c r="D947" s="6"/>
      <c r="E947" s="6"/>
      <c r="F947" s="6"/>
      <c r="G947" s="6"/>
      <c r="H947" s="4"/>
      <c r="I947" s="4"/>
      <c r="J947" s="4"/>
      <c r="K947" s="4"/>
      <c r="L947" s="4"/>
      <c r="M947" s="4"/>
      <c r="N947" s="4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9"/>
      <c r="BJ947" s="19">
        <f t="shared" si="157"/>
        <v>0</v>
      </c>
      <c r="BK947" s="6"/>
      <c r="BL947" s="6"/>
      <c r="BM947" s="6"/>
      <c r="BN947" s="6"/>
      <c r="BO947" s="6"/>
    </row>
    <row r="948" spans="1:67" ht="13.4" customHeight="1">
      <c r="A948" s="6"/>
      <c r="B948" s="6"/>
      <c r="C948" s="6"/>
      <c r="D948" s="6"/>
      <c r="E948" s="6"/>
      <c r="F948" s="6"/>
      <c r="G948" s="6"/>
      <c r="H948" s="4"/>
      <c r="I948" s="4"/>
      <c r="J948" s="4"/>
      <c r="K948" s="4"/>
      <c r="L948" s="4"/>
      <c r="M948" s="4"/>
      <c r="N948" s="4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9"/>
      <c r="BJ948" s="19">
        <f t="shared" si="157"/>
        <v>0</v>
      </c>
      <c r="BK948" s="6"/>
      <c r="BL948" s="6"/>
      <c r="BM948" s="6"/>
      <c r="BN948" s="6"/>
      <c r="BO948" s="6"/>
    </row>
    <row r="949" spans="1:67" ht="13.4" customHeight="1">
      <c r="A949" s="6"/>
      <c r="B949" s="6"/>
      <c r="C949" s="6"/>
      <c r="D949" s="6"/>
      <c r="E949" s="6"/>
      <c r="F949" s="6"/>
      <c r="G949" s="6"/>
      <c r="H949" s="4"/>
      <c r="I949" s="4"/>
      <c r="J949" s="4"/>
      <c r="K949" s="4"/>
      <c r="L949" s="4"/>
      <c r="M949" s="4"/>
      <c r="N949" s="4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9"/>
      <c r="BJ949" s="19">
        <f t="shared" si="157"/>
        <v>0</v>
      </c>
      <c r="BK949" s="6"/>
      <c r="BL949" s="6"/>
      <c r="BM949" s="6"/>
      <c r="BN949" s="6"/>
      <c r="BO949" s="6"/>
    </row>
    <row r="950" spans="1:67" ht="13.4" customHeight="1">
      <c r="A950" s="6"/>
      <c r="B950" s="6"/>
      <c r="C950" s="6"/>
      <c r="D950" s="6"/>
      <c r="E950" s="6"/>
      <c r="F950" s="6"/>
      <c r="G950" s="6"/>
      <c r="H950" s="4"/>
      <c r="I950" s="4"/>
      <c r="J950" s="4"/>
      <c r="K950" s="4"/>
      <c r="L950" s="4"/>
      <c r="M950" s="4"/>
      <c r="N950" s="4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9"/>
      <c r="BJ950" s="19">
        <f t="shared" si="157"/>
        <v>0</v>
      </c>
      <c r="BK950" s="6"/>
      <c r="BL950" s="6"/>
      <c r="BM950" s="6"/>
      <c r="BN950" s="6"/>
      <c r="BO950" s="6"/>
    </row>
    <row r="951" spans="1:67" ht="13.4" customHeight="1">
      <c r="A951" s="6"/>
      <c r="B951" s="6"/>
      <c r="C951" s="6"/>
      <c r="D951" s="6"/>
      <c r="E951" s="6"/>
      <c r="F951" s="6"/>
      <c r="G951" s="6"/>
      <c r="H951" s="4"/>
      <c r="I951" s="4"/>
      <c r="J951" s="4"/>
      <c r="K951" s="4"/>
      <c r="L951" s="4"/>
      <c r="M951" s="4"/>
      <c r="N951" s="4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9"/>
      <c r="BJ951" s="19">
        <f t="shared" si="157"/>
        <v>0</v>
      </c>
      <c r="BK951" s="6"/>
      <c r="BL951" s="6"/>
      <c r="BM951" s="6"/>
      <c r="BN951" s="6"/>
      <c r="BO951" s="6"/>
    </row>
    <row r="952" spans="1:67" ht="13.4" customHeight="1">
      <c r="A952" s="6"/>
      <c r="B952" s="6"/>
      <c r="C952" s="6"/>
      <c r="D952" s="6"/>
      <c r="E952" s="6"/>
      <c r="F952" s="6"/>
      <c r="G952" s="6"/>
      <c r="H952" s="4"/>
      <c r="I952" s="4"/>
      <c r="J952" s="4"/>
      <c r="K952" s="4"/>
      <c r="L952" s="4"/>
      <c r="M952" s="4"/>
      <c r="N952" s="4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9"/>
      <c r="BJ952" s="19">
        <f t="shared" si="157"/>
        <v>0</v>
      </c>
      <c r="BK952" s="6"/>
      <c r="BL952" s="6"/>
      <c r="BM952" s="6"/>
      <c r="BN952" s="6"/>
      <c r="BO952" s="6"/>
    </row>
    <row r="953" spans="1:67" ht="13.4" customHeight="1">
      <c r="A953" s="6"/>
      <c r="B953" s="6"/>
      <c r="C953" s="6"/>
      <c r="D953" s="6"/>
      <c r="E953" s="6"/>
      <c r="F953" s="6"/>
      <c r="G953" s="6"/>
      <c r="H953" s="4"/>
      <c r="I953" s="4"/>
      <c r="J953" s="4"/>
      <c r="K953" s="4"/>
      <c r="L953" s="4"/>
      <c r="M953" s="4"/>
      <c r="N953" s="4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9"/>
      <c r="BJ953" s="19">
        <f t="shared" si="157"/>
        <v>0</v>
      </c>
      <c r="BK953" s="6"/>
      <c r="BL953" s="6"/>
      <c r="BM953" s="6"/>
      <c r="BN953" s="6"/>
      <c r="BO953" s="6"/>
    </row>
    <row r="954" spans="1:67" ht="13.4" customHeight="1">
      <c r="A954" s="6"/>
      <c r="B954" s="6"/>
      <c r="C954" s="6"/>
      <c r="D954" s="6"/>
      <c r="E954" s="6"/>
      <c r="F954" s="6"/>
      <c r="G954" s="6"/>
      <c r="H954" s="4"/>
      <c r="I954" s="4"/>
      <c r="J954" s="4"/>
      <c r="K954" s="4"/>
      <c r="L954" s="4"/>
      <c r="M954" s="4"/>
      <c r="N954" s="4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9"/>
      <c r="BJ954" s="19">
        <f t="shared" si="157"/>
        <v>0</v>
      </c>
      <c r="BK954" s="6"/>
      <c r="BL954" s="6"/>
      <c r="BM954" s="6"/>
      <c r="BN954" s="6"/>
      <c r="BO954" s="6"/>
    </row>
    <row r="955" spans="1:67" ht="13.4" customHeight="1">
      <c r="A955" s="6"/>
      <c r="B955" s="6"/>
      <c r="C955" s="6"/>
      <c r="D955" s="6"/>
      <c r="E955" s="6"/>
      <c r="F955" s="6"/>
      <c r="G955" s="6"/>
      <c r="H955" s="4"/>
      <c r="I955" s="4"/>
      <c r="J955" s="4"/>
      <c r="K955" s="4"/>
      <c r="L955" s="4"/>
      <c r="M955" s="4"/>
      <c r="N955" s="4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9"/>
      <c r="BJ955" s="19">
        <f t="shared" si="157"/>
        <v>0</v>
      </c>
      <c r="BK955" s="6"/>
      <c r="BL955" s="6"/>
      <c r="BM955" s="6"/>
      <c r="BN955" s="6"/>
      <c r="BO955" s="6"/>
    </row>
    <row r="956" spans="1:67" ht="13.4" customHeight="1">
      <c r="A956" s="6"/>
      <c r="B956" s="6"/>
      <c r="C956" s="6"/>
      <c r="D956" s="6"/>
      <c r="E956" s="6"/>
      <c r="F956" s="6"/>
      <c r="G956" s="6"/>
      <c r="H956" s="4"/>
      <c r="I956" s="4"/>
      <c r="J956" s="4"/>
      <c r="K956" s="4"/>
      <c r="L956" s="4"/>
      <c r="M956" s="4"/>
      <c r="N956" s="4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9"/>
      <c r="BJ956" s="19">
        <f t="shared" si="157"/>
        <v>0</v>
      </c>
      <c r="BK956" s="6"/>
      <c r="BL956" s="6"/>
      <c r="BM956" s="6"/>
      <c r="BN956" s="6"/>
      <c r="BO956" s="6"/>
    </row>
    <row r="957" spans="1:67" ht="13.4" customHeight="1">
      <c r="A957" s="6"/>
      <c r="B957" s="6"/>
      <c r="C957" s="6"/>
      <c r="D957" s="6"/>
      <c r="E957" s="6"/>
      <c r="F957" s="6"/>
      <c r="G957" s="6"/>
      <c r="H957" s="4"/>
      <c r="I957" s="4"/>
      <c r="J957" s="4"/>
      <c r="K957" s="4"/>
      <c r="L957" s="4"/>
      <c r="M957" s="4"/>
      <c r="N957" s="4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9"/>
      <c r="BJ957" s="19">
        <f t="shared" si="157"/>
        <v>0</v>
      </c>
      <c r="BK957" s="6"/>
      <c r="BL957" s="6"/>
      <c r="BM957" s="6"/>
      <c r="BN957" s="6"/>
      <c r="BO957" s="6"/>
    </row>
    <row r="958" spans="1:67" ht="13.4" customHeight="1">
      <c r="A958" s="6"/>
      <c r="B958" s="6"/>
      <c r="C958" s="6"/>
      <c r="D958" s="6"/>
      <c r="E958" s="6"/>
      <c r="F958" s="6"/>
      <c r="G958" s="6"/>
      <c r="H958" s="4"/>
      <c r="I958" s="4"/>
      <c r="J958" s="4"/>
      <c r="K958" s="4"/>
      <c r="L958" s="4"/>
      <c r="M958" s="4"/>
      <c r="N958" s="4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9"/>
      <c r="BJ958" s="19">
        <f t="shared" si="157"/>
        <v>0</v>
      </c>
      <c r="BK958" s="6"/>
      <c r="BL958" s="6"/>
      <c r="BM958" s="6"/>
      <c r="BN958" s="6"/>
      <c r="BO958" s="6"/>
    </row>
    <row r="959" spans="1:67" ht="13.4" customHeight="1">
      <c r="A959" s="6"/>
      <c r="B959" s="6"/>
      <c r="C959" s="6"/>
      <c r="D959" s="6"/>
      <c r="E959" s="6"/>
      <c r="F959" s="6"/>
      <c r="G959" s="6"/>
      <c r="H959" s="4"/>
      <c r="I959" s="4"/>
      <c r="J959" s="4"/>
      <c r="K959" s="4"/>
      <c r="L959" s="4"/>
      <c r="M959" s="4"/>
      <c r="N959" s="4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9"/>
      <c r="BJ959" s="19">
        <f t="shared" si="157"/>
        <v>0</v>
      </c>
      <c r="BK959" s="6"/>
      <c r="BL959" s="6"/>
      <c r="BM959" s="6"/>
      <c r="BN959" s="6"/>
      <c r="BO959" s="6"/>
    </row>
    <row r="960" spans="1:67" ht="13.4" customHeight="1">
      <c r="A960" s="6"/>
      <c r="B960" s="6"/>
      <c r="C960" s="6"/>
      <c r="D960" s="6"/>
      <c r="E960" s="6"/>
      <c r="F960" s="6"/>
      <c r="G960" s="6"/>
      <c r="H960" s="4"/>
      <c r="I960" s="4"/>
      <c r="J960" s="4"/>
      <c r="K960" s="4"/>
      <c r="L960" s="4"/>
      <c r="M960" s="4"/>
      <c r="N960" s="4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9"/>
      <c r="BJ960" s="19">
        <f t="shared" si="157"/>
        <v>0</v>
      </c>
      <c r="BK960" s="6"/>
      <c r="BL960" s="6"/>
      <c r="BM960" s="6"/>
      <c r="BN960" s="6"/>
      <c r="BO960" s="6"/>
    </row>
    <row r="961" spans="1:67" ht="13.4" customHeight="1">
      <c r="A961" s="6"/>
      <c r="B961" s="6"/>
      <c r="C961" s="6"/>
      <c r="D961" s="6"/>
      <c r="E961" s="6"/>
      <c r="F961" s="6"/>
      <c r="G961" s="6"/>
      <c r="H961" s="4"/>
      <c r="I961" s="4"/>
      <c r="J961" s="4"/>
      <c r="K961" s="4"/>
      <c r="L961" s="4"/>
      <c r="M961" s="4"/>
      <c r="N961" s="4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9"/>
      <c r="BJ961" s="19">
        <f t="shared" si="157"/>
        <v>0</v>
      </c>
      <c r="BK961" s="6"/>
      <c r="BL961" s="6"/>
      <c r="BM961" s="6"/>
      <c r="BN961" s="6"/>
      <c r="BO961" s="6"/>
    </row>
    <row r="962" spans="1:67" ht="13.4" customHeight="1">
      <c r="A962" s="6"/>
      <c r="B962" s="6"/>
      <c r="C962" s="6"/>
      <c r="D962" s="6"/>
      <c r="E962" s="6"/>
      <c r="F962" s="6"/>
      <c r="G962" s="6"/>
      <c r="H962" s="4"/>
      <c r="I962" s="4"/>
      <c r="J962" s="4"/>
      <c r="K962" s="4"/>
      <c r="L962" s="4"/>
      <c r="M962" s="4"/>
      <c r="N962" s="4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9"/>
      <c r="BJ962" s="19">
        <f t="shared" si="157"/>
        <v>0</v>
      </c>
      <c r="BK962" s="6"/>
      <c r="BL962" s="6"/>
      <c r="BM962" s="6"/>
      <c r="BN962" s="6"/>
      <c r="BO962" s="6"/>
    </row>
    <row r="963" spans="1:67" ht="13.4" customHeight="1">
      <c r="A963" s="6"/>
      <c r="B963" s="6"/>
      <c r="C963" s="6"/>
      <c r="D963" s="6"/>
      <c r="E963" s="6"/>
      <c r="F963" s="6"/>
      <c r="G963" s="6"/>
      <c r="H963" s="4"/>
      <c r="I963" s="4"/>
      <c r="J963" s="4"/>
      <c r="K963" s="4"/>
      <c r="L963" s="4"/>
      <c r="M963" s="4"/>
      <c r="N963" s="4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9"/>
      <c r="BJ963" s="19">
        <f t="shared" ref="BJ963:BJ976" si="158">A963</f>
        <v>0</v>
      </c>
      <c r="BK963" s="6"/>
      <c r="BL963" s="6"/>
      <c r="BM963" s="6"/>
      <c r="BN963" s="6"/>
      <c r="BO963" s="6"/>
    </row>
    <row r="964" spans="1:67" ht="13.4" customHeight="1">
      <c r="A964" s="6"/>
      <c r="B964" s="6"/>
      <c r="C964" s="6"/>
      <c r="D964" s="6"/>
      <c r="E964" s="6"/>
      <c r="F964" s="6"/>
      <c r="G964" s="6"/>
      <c r="H964" s="4"/>
      <c r="I964" s="4"/>
      <c r="J964" s="4"/>
      <c r="K964" s="4"/>
      <c r="L964" s="4"/>
      <c r="M964" s="4"/>
      <c r="N964" s="4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9"/>
      <c r="BJ964" s="19">
        <f t="shared" si="158"/>
        <v>0</v>
      </c>
      <c r="BK964" s="6"/>
      <c r="BL964" s="6"/>
      <c r="BM964" s="6"/>
      <c r="BN964" s="6"/>
      <c r="BO964" s="6"/>
    </row>
    <row r="965" spans="1:67" ht="13.4" customHeight="1">
      <c r="A965" s="6"/>
      <c r="B965" s="6"/>
      <c r="C965" s="6"/>
      <c r="D965" s="6"/>
      <c r="E965" s="6"/>
      <c r="F965" s="6"/>
      <c r="G965" s="6"/>
      <c r="H965" s="4"/>
      <c r="I965" s="4"/>
      <c r="J965" s="4"/>
      <c r="K965" s="4"/>
      <c r="L965" s="4"/>
      <c r="M965" s="4"/>
      <c r="N965" s="4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9"/>
      <c r="BJ965" s="19">
        <f t="shared" si="158"/>
        <v>0</v>
      </c>
      <c r="BK965" s="6"/>
      <c r="BL965" s="6"/>
      <c r="BM965" s="6"/>
      <c r="BN965" s="6"/>
      <c r="BO965" s="6"/>
    </row>
    <row r="966" spans="1:67" ht="13.4" customHeight="1">
      <c r="A966" s="6"/>
      <c r="B966" s="6"/>
      <c r="C966" s="6"/>
      <c r="D966" s="6"/>
      <c r="E966" s="6"/>
      <c r="F966" s="6"/>
      <c r="G966" s="6"/>
      <c r="H966" s="4"/>
      <c r="I966" s="4"/>
      <c r="J966" s="4"/>
      <c r="K966" s="4"/>
      <c r="L966" s="4"/>
      <c r="M966" s="4"/>
      <c r="N966" s="4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9"/>
      <c r="BJ966" s="19">
        <f t="shared" si="158"/>
        <v>0</v>
      </c>
      <c r="BK966" s="6"/>
      <c r="BL966" s="6"/>
      <c r="BM966" s="6"/>
      <c r="BN966" s="6"/>
      <c r="BO966" s="6"/>
    </row>
    <row r="967" spans="1:67" ht="13.4" customHeight="1">
      <c r="A967" s="6"/>
      <c r="B967" s="6"/>
      <c r="C967" s="6"/>
      <c r="D967" s="6"/>
      <c r="E967" s="6"/>
      <c r="F967" s="6"/>
      <c r="G967" s="6"/>
      <c r="H967" s="4"/>
      <c r="I967" s="4"/>
      <c r="J967" s="4"/>
      <c r="K967" s="4"/>
      <c r="L967" s="4"/>
      <c r="M967" s="4"/>
      <c r="N967" s="4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9"/>
      <c r="BJ967" s="19">
        <f t="shared" si="158"/>
        <v>0</v>
      </c>
      <c r="BK967" s="6"/>
      <c r="BL967" s="6"/>
      <c r="BM967" s="6"/>
      <c r="BN967" s="6"/>
      <c r="BO967" s="6"/>
    </row>
    <row r="968" spans="1:67" ht="13.4" customHeight="1">
      <c r="A968" s="6"/>
      <c r="B968" s="6"/>
      <c r="C968" s="6"/>
      <c r="D968" s="6"/>
      <c r="E968" s="6"/>
      <c r="F968" s="6"/>
      <c r="G968" s="6"/>
      <c r="H968" s="4"/>
      <c r="I968" s="4"/>
      <c r="J968" s="4"/>
      <c r="K968" s="4"/>
      <c r="L968" s="4"/>
      <c r="M968" s="4"/>
      <c r="N968" s="4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9"/>
      <c r="BJ968" s="19">
        <f t="shared" si="158"/>
        <v>0</v>
      </c>
      <c r="BK968" s="6"/>
      <c r="BL968" s="6"/>
      <c r="BM968" s="6"/>
      <c r="BN968" s="6"/>
      <c r="BO968" s="6"/>
    </row>
    <row r="969" spans="1:67" ht="13.4" customHeight="1">
      <c r="A969" s="6"/>
      <c r="B969" s="6"/>
      <c r="C969" s="6"/>
      <c r="D969" s="6"/>
      <c r="E969" s="6"/>
      <c r="F969" s="6"/>
      <c r="G969" s="6"/>
      <c r="H969" s="4"/>
      <c r="I969" s="4"/>
      <c r="J969" s="4"/>
      <c r="K969" s="4"/>
      <c r="L969" s="4"/>
      <c r="M969" s="4"/>
      <c r="N969" s="4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9"/>
      <c r="BJ969" s="19">
        <f t="shared" si="158"/>
        <v>0</v>
      </c>
      <c r="BK969" s="6"/>
      <c r="BL969" s="6"/>
      <c r="BM969" s="6"/>
      <c r="BN969" s="6"/>
      <c r="BO969" s="6"/>
    </row>
    <row r="970" spans="1:67" ht="13.4" customHeight="1">
      <c r="A970" s="6"/>
      <c r="B970" s="6"/>
      <c r="C970" s="6"/>
      <c r="D970" s="6"/>
      <c r="E970" s="6"/>
      <c r="F970" s="6"/>
      <c r="G970" s="6"/>
      <c r="H970" s="4"/>
      <c r="I970" s="4"/>
      <c r="J970" s="4"/>
      <c r="K970" s="4"/>
      <c r="L970" s="4"/>
      <c r="M970" s="4"/>
      <c r="N970" s="4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9"/>
      <c r="BJ970" s="19">
        <f t="shared" si="158"/>
        <v>0</v>
      </c>
      <c r="BK970" s="6"/>
      <c r="BL970" s="6"/>
      <c r="BM970" s="6"/>
      <c r="BN970" s="6"/>
      <c r="BO970" s="6"/>
    </row>
    <row r="971" spans="1:67" ht="13.4" customHeight="1">
      <c r="A971" s="6"/>
      <c r="B971" s="6"/>
      <c r="C971" s="6"/>
      <c r="D971" s="6"/>
      <c r="E971" s="6"/>
      <c r="F971" s="6"/>
      <c r="G971" s="6"/>
      <c r="H971" s="4"/>
      <c r="I971" s="4"/>
      <c r="J971" s="4"/>
      <c r="K971" s="4"/>
      <c r="L971" s="4"/>
      <c r="M971" s="4"/>
      <c r="N971" s="4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9"/>
      <c r="BJ971" s="19">
        <f t="shared" si="158"/>
        <v>0</v>
      </c>
      <c r="BK971" s="6"/>
      <c r="BL971" s="6"/>
      <c r="BM971" s="6"/>
      <c r="BN971" s="6"/>
      <c r="BO971" s="6"/>
    </row>
    <row r="972" spans="1:67" ht="13.4" customHeight="1">
      <c r="A972" s="6"/>
      <c r="B972" s="6"/>
      <c r="C972" s="6"/>
      <c r="D972" s="6"/>
      <c r="E972" s="6"/>
      <c r="F972" s="6"/>
      <c r="G972" s="6"/>
      <c r="H972" s="4"/>
      <c r="I972" s="4"/>
      <c r="J972" s="4"/>
      <c r="K972" s="4"/>
      <c r="L972" s="4"/>
      <c r="M972" s="4"/>
      <c r="N972" s="4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9"/>
      <c r="BJ972" s="19">
        <f t="shared" si="158"/>
        <v>0</v>
      </c>
      <c r="BK972" s="6"/>
      <c r="BL972" s="6"/>
      <c r="BM972" s="6"/>
      <c r="BN972" s="6"/>
      <c r="BO972" s="6"/>
    </row>
    <row r="973" spans="1:67" ht="13.4" customHeight="1">
      <c r="A973" s="6"/>
      <c r="B973" s="6"/>
      <c r="C973" s="6"/>
      <c r="D973" s="6"/>
      <c r="E973" s="6"/>
      <c r="F973" s="6"/>
      <c r="G973" s="6"/>
      <c r="H973" s="4"/>
      <c r="I973" s="4"/>
      <c r="J973" s="4"/>
      <c r="K973" s="4"/>
      <c r="L973" s="4"/>
      <c r="M973" s="4"/>
      <c r="N973" s="4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9"/>
      <c r="BJ973" s="19">
        <f t="shared" si="158"/>
        <v>0</v>
      </c>
      <c r="BK973" s="6"/>
      <c r="BL973" s="6"/>
      <c r="BM973" s="6"/>
      <c r="BN973" s="6"/>
      <c r="BO973" s="6"/>
    </row>
    <row r="974" spans="1:67" ht="13.4" customHeight="1">
      <c r="A974" s="6"/>
      <c r="B974" s="6"/>
      <c r="C974" s="6"/>
      <c r="D974" s="6"/>
      <c r="E974" s="6"/>
      <c r="F974" s="6"/>
      <c r="G974" s="6"/>
      <c r="H974" s="4"/>
      <c r="I974" s="4"/>
      <c r="J974" s="4"/>
      <c r="K974" s="4"/>
      <c r="L974" s="4"/>
      <c r="M974" s="4"/>
      <c r="N974" s="4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9"/>
      <c r="BJ974" s="19">
        <f t="shared" si="158"/>
        <v>0</v>
      </c>
      <c r="BK974" s="6"/>
      <c r="BL974" s="6"/>
      <c r="BM974" s="6"/>
      <c r="BN974" s="6"/>
      <c r="BO974" s="6"/>
    </row>
    <row r="975" spans="1:67" ht="13.4" customHeight="1">
      <c r="A975" s="6"/>
      <c r="B975" s="6"/>
      <c r="C975" s="6"/>
      <c r="D975" s="6"/>
      <c r="E975" s="6"/>
      <c r="F975" s="6"/>
      <c r="G975" s="6"/>
      <c r="H975" s="4"/>
      <c r="I975" s="4"/>
      <c r="J975" s="4"/>
      <c r="K975" s="4"/>
      <c r="L975" s="4"/>
      <c r="M975" s="4"/>
      <c r="N975" s="4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9"/>
      <c r="BJ975" s="19">
        <f t="shared" si="158"/>
        <v>0</v>
      </c>
      <c r="BK975" s="6"/>
      <c r="BL975" s="6"/>
      <c r="BM975" s="6"/>
      <c r="BN975" s="6"/>
      <c r="BO975" s="6"/>
    </row>
    <row r="976" spans="1:67" ht="13.4" customHeight="1">
      <c r="A976" s="6"/>
      <c r="B976" s="6"/>
      <c r="C976" s="6"/>
      <c r="D976" s="6"/>
      <c r="E976" s="6"/>
      <c r="F976" s="6"/>
      <c r="G976" s="6"/>
      <c r="H976" s="4"/>
      <c r="I976" s="4"/>
      <c r="J976" s="4"/>
      <c r="K976" s="4"/>
      <c r="L976" s="4"/>
      <c r="M976" s="4"/>
      <c r="N976" s="4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9"/>
      <c r="BJ976" s="19">
        <f t="shared" si="158"/>
        <v>0</v>
      </c>
      <c r="BK976" s="6"/>
      <c r="BL976" s="6"/>
      <c r="BM976" s="6"/>
      <c r="BN976" s="6"/>
      <c r="BO9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1"/>
  <sheetViews>
    <sheetView showGridLines="0" tabSelected="1" topLeftCell="A15" zoomScale="54" workbookViewId="0">
      <selection activeCell="H39" sqref="H39"/>
    </sheetView>
  </sheetViews>
  <sheetFormatPr defaultColWidth="12.54296875" defaultRowHeight="15.75" customHeight="1"/>
  <cols>
    <col min="1" max="1" width="9.40625" customWidth="1"/>
    <col min="2" max="2" width="31.7265625" customWidth="1"/>
    <col min="3" max="3" width="8.40625" customWidth="1"/>
    <col min="4" max="4" width="60.1328125" customWidth="1"/>
    <col min="5" max="5" width="11.1328125" bestFit="1" customWidth="1"/>
    <col min="6" max="6" width="11.31640625" bestFit="1" customWidth="1"/>
    <col min="7" max="7" width="22.58984375" bestFit="1" customWidth="1"/>
    <col min="8" max="8" width="18.5" bestFit="1" customWidth="1"/>
    <col min="9" max="9" width="18.40625" bestFit="1" customWidth="1"/>
    <col min="10" max="10" width="13.40625" customWidth="1"/>
    <col min="11" max="11" width="8" customWidth="1"/>
    <col min="12" max="12" width="40.40625" customWidth="1"/>
    <col min="13" max="13" width="24.7265625" bestFit="1" customWidth="1"/>
    <col min="14" max="14" width="12.26953125" bestFit="1" customWidth="1"/>
    <col min="15" max="15" width="23.7265625" bestFit="1" customWidth="1"/>
    <col min="16" max="16" width="19.26953125" bestFit="1" customWidth="1"/>
    <col min="17" max="17" width="21.40625" bestFit="1" customWidth="1"/>
    <col min="18" max="18" width="20.40625" bestFit="1" customWidth="1"/>
    <col min="19" max="19" width="11.54296875" bestFit="1" customWidth="1"/>
    <col min="26" max="26" width="13.7265625" bestFit="1" customWidth="1"/>
    <col min="27" max="27" width="10.40625" bestFit="1" customWidth="1"/>
    <col min="28" max="28" width="14.26953125" bestFit="1" customWidth="1"/>
    <col min="30" max="30" width="17.86328125" bestFit="1" customWidth="1"/>
    <col min="31" max="31" width="15.40625" bestFit="1" customWidth="1"/>
    <col min="32" max="32" width="20.54296875" bestFit="1" customWidth="1"/>
    <col min="33" max="33" width="17.86328125" bestFit="1" customWidth="1"/>
    <col min="38" max="38" width="21.7265625" bestFit="1" customWidth="1"/>
    <col min="41" max="41" width="21.7265625" bestFit="1" customWidth="1"/>
    <col min="42" max="42" width="17" bestFit="1" customWidth="1"/>
    <col min="43" max="43" width="40.1328125" bestFit="1" customWidth="1"/>
    <col min="44" max="44" width="25.26953125" bestFit="1" customWidth="1"/>
    <col min="45" max="45" width="34.7265625" bestFit="1" customWidth="1"/>
  </cols>
  <sheetData>
    <row r="1" spans="1:38" ht="9.75" customHeight="1">
      <c r="A1" s="222" t="s">
        <v>316</v>
      </c>
      <c r="B1" s="213"/>
      <c r="C1" s="213"/>
      <c r="D1" s="213"/>
      <c r="E1" s="213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</row>
    <row r="2" spans="1:38" ht="15" customHeight="1">
      <c r="A2" s="158"/>
      <c r="B2" s="158"/>
      <c r="C2" s="158"/>
      <c r="D2" s="158"/>
      <c r="E2" s="223"/>
      <c r="F2" s="213"/>
      <c r="G2" s="213"/>
      <c r="H2" s="213"/>
      <c r="I2" s="213"/>
      <c r="J2" s="213"/>
      <c r="K2" s="158"/>
      <c r="L2" s="158"/>
      <c r="M2" s="158"/>
      <c r="N2" s="158"/>
      <c r="O2" s="158"/>
      <c r="P2" s="158"/>
      <c r="Q2" s="158"/>
      <c r="R2" s="158"/>
      <c r="S2" s="158"/>
    </row>
    <row r="3" spans="1:38" ht="15" customHeight="1">
      <c r="A3" s="158"/>
      <c r="B3" s="159" t="s">
        <v>137</v>
      </c>
      <c r="C3" s="160">
        <f>'Assumption Table'!C129</f>
        <v>0.11899999999999999</v>
      </c>
      <c r="D3" s="4"/>
      <c r="E3" s="4"/>
      <c r="F3" s="4"/>
      <c r="G3" s="4"/>
      <c r="H3" s="4"/>
      <c r="I3" s="4"/>
      <c r="J3" s="4"/>
      <c r="K3" s="158"/>
      <c r="L3" s="158"/>
      <c r="M3" s="158"/>
      <c r="N3" s="158"/>
      <c r="O3" s="158"/>
      <c r="P3" s="158"/>
      <c r="Q3" s="158"/>
      <c r="R3" s="158"/>
      <c r="S3" s="158"/>
    </row>
    <row r="4" spans="1:38" ht="15" customHeight="1">
      <c r="A4" s="158"/>
      <c r="B4" s="161" t="s">
        <v>145</v>
      </c>
      <c r="C4" s="162">
        <f>'Assumption Table'!C139</f>
        <v>9.2666666666666661E-2</v>
      </c>
      <c r="D4" s="4"/>
      <c r="E4" s="4"/>
      <c r="F4" s="4"/>
      <c r="G4" s="4"/>
      <c r="H4" s="4"/>
      <c r="I4" s="4"/>
      <c r="J4" s="4"/>
      <c r="K4" s="158"/>
      <c r="L4" s="158"/>
      <c r="M4" s="158"/>
      <c r="N4" s="158"/>
      <c r="O4" s="158"/>
      <c r="P4" s="158"/>
      <c r="Q4" s="158"/>
      <c r="R4" s="158"/>
      <c r="S4" s="158"/>
    </row>
    <row r="5" spans="1:38" ht="15.75" customHeight="1">
      <c r="A5" s="158"/>
      <c r="B5" s="163" t="s">
        <v>317</v>
      </c>
      <c r="C5" s="164">
        <f>'Assumption Table'!C142</f>
        <v>0.04</v>
      </c>
      <c r="D5" s="4"/>
      <c r="E5" s="165"/>
      <c r="F5" s="166"/>
      <c r="G5" s="167"/>
      <c r="H5" s="167"/>
      <c r="I5" s="167"/>
      <c r="J5" s="167"/>
      <c r="K5" s="158"/>
      <c r="L5" s="158"/>
      <c r="M5" s="158"/>
      <c r="N5" s="158"/>
      <c r="O5" s="158"/>
      <c r="P5" s="158"/>
      <c r="Q5" s="196" t="s">
        <v>318</v>
      </c>
      <c r="R5" s="158"/>
    </row>
    <row r="6" spans="1:38" ht="15" customHeight="1">
      <c r="A6" s="158"/>
      <c r="B6" s="4"/>
      <c r="C6" s="4"/>
      <c r="D6" s="4"/>
      <c r="E6" s="165"/>
      <c r="F6" s="168" t="s">
        <v>151</v>
      </c>
      <c r="G6" s="168" t="s">
        <v>152</v>
      </c>
      <c r="H6" s="168" t="s">
        <v>153</v>
      </c>
      <c r="I6" s="168" t="s">
        <v>154</v>
      </c>
      <c r="J6" s="168" t="s">
        <v>155</v>
      </c>
      <c r="K6" s="158"/>
      <c r="R6" s="158"/>
      <c r="S6" s="198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</row>
    <row r="7" spans="1:38" ht="15" customHeight="1">
      <c r="A7" s="158"/>
      <c r="B7" s="4"/>
      <c r="C7" s="4"/>
      <c r="D7" s="169" t="s">
        <v>319</v>
      </c>
      <c r="E7" s="4"/>
      <c r="F7" s="4"/>
      <c r="G7" s="4"/>
      <c r="H7" s="4"/>
      <c r="I7" s="4"/>
      <c r="J7" s="4"/>
      <c r="K7" s="158"/>
      <c r="R7" s="158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7"/>
      <c r="AH7" s="206"/>
      <c r="AI7" s="206"/>
      <c r="AJ7" s="206"/>
      <c r="AK7" s="205"/>
      <c r="AL7" s="206"/>
    </row>
    <row r="8" spans="1:38" ht="15" customHeight="1">
      <c r="A8" s="158"/>
      <c r="B8" s="4"/>
      <c r="C8" s="4"/>
      <c r="D8" s="4"/>
      <c r="E8" s="4"/>
      <c r="F8" s="4"/>
      <c r="G8" s="4"/>
      <c r="H8" s="4"/>
      <c r="I8" s="4"/>
      <c r="J8" s="4"/>
      <c r="K8" s="158"/>
      <c r="R8" s="158"/>
      <c r="S8" s="209"/>
      <c r="T8" s="208"/>
      <c r="U8" s="211"/>
      <c r="V8" s="210"/>
      <c r="W8" s="210"/>
      <c r="X8" s="210"/>
      <c r="Y8" s="211"/>
      <c r="Z8" s="209"/>
      <c r="AA8" s="209"/>
      <c r="AB8" s="209"/>
      <c r="AC8" s="209"/>
      <c r="AD8" s="209"/>
      <c r="AE8" s="210"/>
      <c r="AF8" s="210"/>
      <c r="AG8" s="210"/>
      <c r="AH8" s="210"/>
      <c r="AI8" s="210"/>
      <c r="AJ8" s="208"/>
      <c r="AK8" s="208"/>
      <c r="AL8" s="209"/>
    </row>
    <row r="9" spans="1:38" ht="15" customHeight="1">
      <c r="A9" s="158"/>
      <c r="B9" s="4"/>
      <c r="C9" s="4"/>
      <c r="D9" s="132" t="s">
        <v>320</v>
      </c>
      <c r="E9" s="4"/>
      <c r="F9" s="4"/>
      <c r="G9" s="4"/>
      <c r="H9" s="4"/>
      <c r="I9" s="4"/>
      <c r="J9" s="4"/>
      <c r="K9" s="158"/>
      <c r="R9" s="15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</row>
    <row r="10" spans="1:38" ht="15" customHeight="1">
      <c r="A10" s="158"/>
      <c r="B10" s="4"/>
      <c r="C10" s="4"/>
      <c r="D10" s="170" t="s">
        <v>283</v>
      </c>
      <c r="E10" s="4"/>
      <c r="F10" s="171">
        <f ca="1">'Projection Model'!BK220</f>
        <v>1610832.6190285077</v>
      </c>
      <c r="G10" s="171">
        <f ca="1">'Projection Model'!BL220</f>
        <v>5492577.7287614597</v>
      </c>
      <c r="H10" s="171">
        <f ca="1">'Projection Model'!BM220</f>
        <v>9719334.145719124</v>
      </c>
      <c r="I10" s="171">
        <f ca="1">'Projection Model'!BN220</f>
        <v>12252596.727353299</v>
      </c>
      <c r="J10" s="171">
        <f ca="1">'Projection Model'!BO220</f>
        <v>22109459.352375787</v>
      </c>
      <c r="K10" s="158"/>
      <c r="R10" s="15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</row>
    <row r="11" spans="1:38" ht="15" customHeight="1">
      <c r="A11" s="158"/>
      <c r="B11" s="4"/>
      <c r="C11" s="4"/>
      <c r="D11" s="170" t="s">
        <v>321</v>
      </c>
      <c r="E11" s="4"/>
      <c r="F11" s="171">
        <f ca="1">'Projection Model'!BK168</f>
        <v>48624.081246270733</v>
      </c>
      <c r="G11" s="171">
        <f ca="1">'Projection Model'!BL168</f>
        <v>156862.58372390328</v>
      </c>
      <c r="H11" s="171">
        <f ca="1">'Projection Model'!BM168</f>
        <v>275359.18592185975</v>
      </c>
      <c r="I11" s="171">
        <f ca="1">'Projection Model'!BN168</f>
        <v>397452.455363649</v>
      </c>
      <c r="J11" s="171">
        <f ca="1">'Projection Model'!BO168</f>
        <v>640851.26029683254</v>
      </c>
      <c r="K11" s="158"/>
      <c r="R11" s="158"/>
      <c r="S11" s="198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</row>
    <row r="12" spans="1:38" ht="15" customHeight="1">
      <c r="A12" s="158"/>
      <c r="B12" s="4"/>
      <c r="C12" s="4"/>
      <c r="D12" s="170" t="s">
        <v>322</v>
      </c>
      <c r="E12" s="4"/>
      <c r="F12" s="171">
        <f ca="1">-'Projection Model'!BK122</f>
        <v>-600257.99943302118</v>
      </c>
      <c r="G12" s="171">
        <f ca="1">-'Projection Model'!BL122</f>
        <v>-1258242.2453937188</v>
      </c>
      <c r="H12" s="171">
        <f ca="1">-'Projection Model'!BM122</f>
        <v>-4557941.5236328747</v>
      </c>
      <c r="I12" s="171">
        <f ca="1">-'Projection Model'!BN122</f>
        <v>-4137755.341615899</v>
      </c>
      <c r="J12" s="171">
        <f ca="1">-'Projection Model'!BO122</f>
        <v>-6089031.9235582855</v>
      </c>
      <c r="K12" s="158"/>
      <c r="R12" s="158"/>
      <c r="S12" s="198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</row>
    <row r="13" spans="1:38" ht="15" customHeight="1">
      <c r="A13" s="158"/>
      <c r="B13" s="4"/>
      <c r="C13" s="4"/>
      <c r="D13" s="170" t="s">
        <v>323</v>
      </c>
      <c r="E13" s="4"/>
      <c r="F13" s="171">
        <f ca="1">-'Projection Model'!BK192</f>
        <v>-456810.04087529524</v>
      </c>
      <c r="G13" s="171">
        <f ca="1">-'Projection Model'!BL192</f>
        <v>-2306534.6250519762</v>
      </c>
      <c r="H13" s="171">
        <f ca="1">-'Projection Model'!BM192</f>
        <v>-2516511.9757431997</v>
      </c>
      <c r="I13" s="171">
        <f ca="1">-'Projection Model'!BN192</f>
        <v>-2334773.9026171342</v>
      </c>
      <c r="J13" s="171">
        <f ca="1">-'Projection Model'!BO192</f>
        <v>-5293809.6652314626</v>
      </c>
      <c r="K13" s="158"/>
      <c r="R13" s="158"/>
      <c r="S13" s="158"/>
    </row>
    <row r="14" spans="1:38" ht="15" customHeight="1">
      <c r="A14" s="158"/>
      <c r="B14" s="4"/>
      <c r="C14" s="4"/>
      <c r="D14" s="170"/>
      <c r="E14" s="4"/>
      <c r="F14" s="172"/>
      <c r="G14" s="172"/>
      <c r="H14" s="172"/>
      <c r="I14" s="172"/>
      <c r="J14" s="172"/>
      <c r="K14" s="158"/>
      <c r="R14" s="158"/>
      <c r="S14" s="158"/>
    </row>
    <row r="15" spans="1:38" ht="15" customHeight="1">
      <c r="A15" s="158"/>
      <c r="B15" s="4"/>
      <c r="C15" s="4"/>
      <c r="D15" s="5" t="s">
        <v>324</v>
      </c>
      <c r="E15" s="4"/>
      <c r="F15" s="171">
        <f ca="1">SUM(F10:F13)</f>
        <v>602388.65996646229</v>
      </c>
      <c r="G15" s="171">
        <f ca="1">SUM(G10:G13)</f>
        <v>2084663.4420396686</v>
      </c>
      <c r="H15" s="171">
        <f ca="1">SUM(H10:H13)</f>
        <v>2920239.8322649086</v>
      </c>
      <c r="I15" s="171">
        <f ca="1">SUM(I10:I13)</f>
        <v>6177519.9384839162</v>
      </c>
      <c r="J15" s="171">
        <f ca="1">SUM(J10:J13)</f>
        <v>11367469.023882871</v>
      </c>
      <c r="K15" s="158"/>
      <c r="R15" s="158"/>
      <c r="S15" s="158"/>
    </row>
    <row r="16" spans="1:38" ht="15" customHeight="1">
      <c r="A16" s="158"/>
      <c r="B16" s="4"/>
      <c r="C16" s="4"/>
      <c r="D16" s="173" t="s">
        <v>325</v>
      </c>
      <c r="E16" s="4"/>
      <c r="F16" s="4"/>
      <c r="G16" s="4"/>
      <c r="H16" s="4"/>
      <c r="I16" s="4"/>
      <c r="J16" s="171">
        <f ca="1">J15*(1+C5)/(C3-C5)</f>
        <v>149647693.47896442</v>
      </c>
      <c r="K16" s="158"/>
      <c r="R16" s="158"/>
      <c r="S16" s="158"/>
    </row>
    <row r="17" spans="1:19" ht="15" customHeight="1">
      <c r="A17" s="158"/>
      <c r="B17" s="4"/>
      <c r="C17" s="4"/>
      <c r="D17" s="173" t="s">
        <v>326</v>
      </c>
      <c r="E17" s="4"/>
      <c r="F17" s="171">
        <f ca="1">F15</f>
        <v>602388.65996646229</v>
      </c>
      <c r="G17" s="171">
        <f ca="1">G15</f>
        <v>2084663.4420396686</v>
      </c>
      <c r="H17" s="171">
        <f ca="1">H15</f>
        <v>2920239.8322649086</v>
      </c>
      <c r="I17" s="171">
        <f ca="1">I15</f>
        <v>6177519.9384839162</v>
      </c>
      <c r="J17" s="171">
        <f ca="1">J15</f>
        <v>11367469.023882871</v>
      </c>
      <c r="K17" s="158"/>
      <c r="R17" s="158"/>
      <c r="S17" s="158"/>
    </row>
    <row r="18" spans="1:19" ht="15" customHeight="1">
      <c r="A18" s="158"/>
      <c r="B18" s="4"/>
      <c r="C18" s="4"/>
      <c r="D18" s="173" t="s">
        <v>327</v>
      </c>
      <c r="E18" s="174">
        <f t="array" aca="1" ref="E18" ca="1">NPV(C3,F17:J17)</f>
        <v>14706384.990347678</v>
      </c>
      <c r="F18" s="4"/>
      <c r="G18" s="4"/>
      <c r="H18" s="4"/>
      <c r="I18" s="4"/>
      <c r="J18" s="4"/>
      <c r="K18" s="158"/>
      <c r="R18" s="158"/>
      <c r="S18" s="158"/>
    </row>
    <row r="19" spans="1:19" ht="15" customHeight="1">
      <c r="A19" s="158"/>
      <c r="B19" s="4"/>
      <c r="C19" s="4"/>
      <c r="D19" s="173" t="s">
        <v>149</v>
      </c>
      <c r="E19" s="175">
        <f>'Assumption Table'!C144</f>
        <v>1000000</v>
      </c>
      <c r="F19" s="4"/>
      <c r="G19" s="4"/>
      <c r="H19" s="4"/>
      <c r="I19" s="4"/>
      <c r="J19" s="4"/>
      <c r="K19" s="158"/>
      <c r="R19" s="158"/>
      <c r="S19" s="158"/>
    </row>
    <row r="20" spans="1:19" ht="15.75" customHeight="1">
      <c r="A20" s="158"/>
      <c r="B20" s="4"/>
      <c r="C20" s="4"/>
      <c r="D20" s="176" t="s">
        <v>328</v>
      </c>
      <c r="E20" s="177">
        <f ca="1">E18/E19</f>
        <v>14.706384990347678</v>
      </c>
      <c r="F20" s="4"/>
      <c r="G20" s="4"/>
      <c r="H20" s="4"/>
      <c r="I20" s="4"/>
      <c r="J20" s="4"/>
      <c r="K20" s="158"/>
      <c r="R20" s="158"/>
      <c r="S20" s="158"/>
    </row>
    <row r="21" spans="1:19" ht="15" customHeight="1">
      <c r="A21" s="158"/>
      <c r="B21" s="4"/>
      <c r="C21" s="4"/>
      <c r="D21" s="5"/>
      <c r="E21" s="4"/>
      <c r="F21" s="4"/>
      <c r="G21" s="4"/>
      <c r="H21" s="4"/>
      <c r="I21" s="4"/>
      <c r="J21" s="4"/>
      <c r="K21" s="158"/>
      <c r="R21" s="158"/>
      <c r="S21" s="158"/>
    </row>
    <row r="22" spans="1:19" ht="15" customHeight="1">
      <c r="A22" s="158"/>
      <c r="B22" s="4"/>
      <c r="C22" s="4"/>
      <c r="D22" s="132" t="s">
        <v>329</v>
      </c>
      <c r="E22" s="4"/>
      <c r="F22" s="4"/>
      <c r="G22" s="4"/>
      <c r="H22" s="4"/>
      <c r="I22" s="4"/>
      <c r="J22" s="4"/>
      <c r="K22" s="158"/>
      <c r="R22" s="158"/>
      <c r="S22" s="158"/>
    </row>
    <row r="23" spans="1:19" ht="15" customHeight="1">
      <c r="A23" s="158"/>
      <c r="B23" s="4"/>
      <c r="C23" s="4"/>
      <c r="D23" s="170" t="s">
        <v>330</v>
      </c>
      <c r="E23" s="4"/>
      <c r="F23" s="171">
        <f>'Projection Model'!BK214*(1-'Assumption Table'!$C$110)</f>
        <v>153376.87878829904</v>
      </c>
      <c r="G23" s="171">
        <f>'Projection Model'!BL214*(1-'Assumption Table'!$C$110)</f>
        <v>143699.09175320642</v>
      </c>
      <c r="H23" s="171">
        <f>'Projection Model'!BM214*(1-'Assumption Table'!$C$110)</f>
        <v>134631.95452815376</v>
      </c>
      <c r="I23" s="171">
        <f>'Projection Model'!BN214*(1-'Assumption Table'!$C$110)</f>
        <v>126136.93628071531</v>
      </c>
      <c r="J23" s="171">
        <f>'Projection Model'!BO214*(1-'Assumption Table'!$C$110)</f>
        <v>118177.93740012954</v>
      </c>
      <c r="K23" s="158"/>
      <c r="R23" s="158"/>
      <c r="S23" s="158"/>
    </row>
    <row r="24" spans="1:19" ht="15" customHeight="1">
      <c r="A24" s="158"/>
      <c r="B24" s="4"/>
      <c r="C24" s="4"/>
      <c r="D24" s="4"/>
      <c r="E24" s="4"/>
      <c r="F24" s="4"/>
      <c r="G24" s="4"/>
      <c r="H24" s="4"/>
      <c r="I24" s="4"/>
      <c r="J24" s="4"/>
      <c r="K24" s="158"/>
      <c r="R24" s="158"/>
      <c r="S24" s="158"/>
    </row>
    <row r="25" spans="1:19" ht="15" customHeight="1">
      <c r="A25" s="158"/>
      <c r="B25" s="4"/>
      <c r="C25" s="4"/>
      <c r="D25" s="5" t="s">
        <v>331</v>
      </c>
      <c r="E25" s="4"/>
      <c r="F25" s="171">
        <f ca="1">F15+F23</f>
        <v>755765.53875476134</v>
      </c>
      <c r="G25" s="171">
        <f ca="1">G15+G23</f>
        <v>2228362.5337928748</v>
      </c>
      <c r="H25" s="171">
        <f ca="1">H15+H23</f>
        <v>3054871.7867930625</v>
      </c>
      <c r="I25" s="171">
        <f ca="1">I15+I23</f>
        <v>6303656.8747646315</v>
      </c>
      <c r="J25" s="171">
        <f ca="1">J15+J23</f>
        <v>11485646.961283</v>
      </c>
      <c r="K25" s="158"/>
      <c r="R25" s="158"/>
      <c r="S25" s="158"/>
    </row>
    <row r="26" spans="1:19" ht="15" customHeight="1">
      <c r="A26" s="158"/>
      <c r="B26" s="4"/>
      <c r="C26" s="4"/>
      <c r="D26" s="5" t="s">
        <v>332</v>
      </c>
      <c r="E26" s="4"/>
      <c r="F26" s="171"/>
      <c r="G26" s="171"/>
      <c r="H26" s="171"/>
      <c r="I26" s="171"/>
      <c r="J26" s="171">
        <f ca="1">J25*(1+C5)/(C4-C5)</f>
        <v>226805180.5012846</v>
      </c>
      <c r="K26" s="158"/>
      <c r="R26" s="158"/>
      <c r="S26" s="158"/>
    </row>
    <row r="27" spans="1:19" ht="15.75" customHeight="1">
      <c r="A27" s="158"/>
      <c r="B27" s="4"/>
      <c r="C27" s="4"/>
      <c r="D27" s="4" t="s">
        <v>329</v>
      </c>
      <c r="E27" s="4"/>
      <c r="F27" s="171">
        <f ca="1">F25</f>
        <v>755765.53875476134</v>
      </c>
      <c r="G27" s="171">
        <f ca="1">G25</f>
        <v>2228362.5337928748</v>
      </c>
      <c r="H27" s="171">
        <f ca="1">H25</f>
        <v>3054871.7867930625</v>
      </c>
      <c r="I27" s="171">
        <f ca="1">I25</f>
        <v>6303656.8747646315</v>
      </c>
      <c r="J27" s="171">
        <f ca="1">J25+J26</f>
        <v>238290827.4625676</v>
      </c>
      <c r="K27" s="158"/>
      <c r="R27" s="158"/>
      <c r="S27" s="158"/>
    </row>
    <row r="28" spans="1:19" ht="15" customHeight="1">
      <c r="A28" s="158"/>
      <c r="B28" s="4"/>
      <c r="C28" s="4"/>
      <c r="D28" s="178" t="s">
        <v>333</v>
      </c>
      <c r="E28" s="174">
        <f t="array" aca="1" ref="E28" ca="1">NPV(C4,F27:J27)</f>
        <v>162314068.8251971</v>
      </c>
      <c r="F28" s="4"/>
      <c r="G28" s="4"/>
      <c r="H28" s="4"/>
      <c r="I28" s="4"/>
      <c r="J28" s="4"/>
      <c r="K28" s="158"/>
      <c r="R28" s="158"/>
      <c r="S28" s="158"/>
    </row>
    <row r="29" spans="1:19" ht="15" customHeight="1">
      <c r="A29" s="158"/>
      <c r="B29" s="4"/>
      <c r="C29" s="4"/>
      <c r="D29" s="178" t="s">
        <v>334</v>
      </c>
      <c r="E29" s="179">
        <f>'Projection Model'!B177</f>
        <v>4972916.666666666</v>
      </c>
      <c r="F29" s="4"/>
      <c r="G29" s="4"/>
      <c r="H29" s="4"/>
      <c r="I29" s="4"/>
      <c r="J29" s="4"/>
      <c r="K29" s="158"/>
      <c r="R29" s="158"/>
      <c r="S29" s="158"/>
    </row>
    <row r="30" spans="1:19" ht="15" customHeight="1">
      <c r="A30" s="158"/>
      <c r="B30" s="4"/>
      <c r="C30" s="4"/>
      <c r="D30" s="178" t="s">
        <v>327</v>
      </c>
      <c r="E30" s="174">
        <f ca="1">E28-E29</f>
        <v>157341152.15853044</v>
      </c>
      <c r="F30" s="4"/>
      <c r="G30" s="4"/>
      <c r="H30" s="4"/>
      <c r="I30" s="4"/>
      <c r="J30" s="4"/>
      <c r="K30" s="158"/>
      <c r="R30" s="158"/>
      <c r="S30" s="158"/>
    </row>
    <row r="31" spans="1:19" ht="15" customHeight="1">
      <c r="A31" s="158"/>
      <c r="B31" s="4"/>
      <c r="C31" s="4"/>
      <c r="D31" s="178" t="s">
        <v>335</v>
      </c>
      <c r="E31" s="175">
        <f>E19</f>
        <v>1000000</v>
      </c>
      <c r="F31" s="4"/>
      <c r="G31" s="4"/>
      <c r="H31" s="4"/>
      <c r="I31" s="4"/>
      <c r="J31" s="4"/>
      <c r="K31" s="158"/>
      <c r="R31" s="158"/>
      <c r="S31" s="158"/>
    </row>
    <row r="32" spans="1:19" ht="15.75" customHeight="1">
      <c r="A32" s="158"/>
      <c r="B32" s="4"/>
      <c r="C32" s="4"/>
      <c r="D32" s="180" t="s">
        <v>336</v>
      </c>
      <c r="E32" s="181">
        <f ca="1">E30/E31</f>
        <v>157.34115215853043</v>
      </c>
      <c r="F32" s="4"/>
      <c r="G32" s="4"/>
      <c r="H32" s="4"/>
      <c r="I32" s="4"/>
      <c r="J32" s="4"/>
      <c r="K32" s="158"/>
      <c r="S32" s="158"/>
    </row>
    <row r="33" spans="1:19" ht="13" customHeight="1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S33" s="158"/>
    </row>
    <row r="34" spans="1:19" ht="13" customHeight="1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S34" s="158"/>
    </row>
    <row r="35" spans="1:19" ht="13" customHeight="1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S35" s="158"/>
    </row>
    <row r="36" spans="1:19" ht="13.25" customHeight="1">
      <c r="A36" s="158"/>
      <c r="B36" s="158"/>
      <c r="C36" s="158"/>
      <c r="D36" s="158"/>
      <c r="E36" s="182"/>
      <c r="F36" s="183"/>
      <c r="G36" s="183"/>
      <c r="H36" s="183"/>
      <c r="I36" s="183"/>
      <c r="J36" s="183"/>
      <c r="K36" s="158"/>
      <c r="S36" s="158"/>
    </row>
    <row r="37" spans="1:19" ht="13.25" customHeight="1">
      <c r="A37" s="158"/>
      <c r="B37" s="158"/>
      <c r="C37" s="158"/>
      <c r="D37" s="158"/>
      <c r="E37" s="183"/>
      <c r="F37" s="184"/>
      <c r="G37" s="184"/>
      <c r="H37" s="184"/>
      <c r="I37" s="184"/>
      <c r="J37" s="184"/>
      <c r="K37" s="158"/>
      <c r="S37" s="158"/>
    </row>
    <row r="38" spans="1:19" ht="13" customHeight="1">
      <c r="A38" s="158"/>
      <c r="B38" s="158"/>
      <c r="C38" s="158"/>
      <c r="D38" s="201" t="s">
        <v>337</v>
      </c>
      <c r="E38" s="201" t="s">
        <v>338</v>
      </c>
      <c r="F38" s="201" t="s">
        <v>339</v>
      </c>
      <c r="G38" s="201" t="s">
        <v>340</v>
      </c>
      <c r="H38" s="201" t="s">
        <v>341</v>
      </c>
      <c r="I38" s="201" t="s">
        <v>342</v>
      </c>
      <c r="J38" s="184"/>
      <c r="K38" s="158"/>
      <c r="S38" s="158"/>
    </row>
    <row r="39" spans="1:19" ht="13.5" customHeight="1">
      <c r="A39" s="158"/>
      <c r="B39" s="158"/>
      <c r="C39" s="158"/>
      <c r="D39" s="190" t="s">
        <v>48</v>
      </c>
      <c r="E39" s="192">
        <v>0.15319435357193431</v>
      </c>
      <c r="F39" s="202">
        <v>0</v>
      </c>
      <c r="G39" s="202">
        <f t="shared" ref="G39:G62" si="0">((F39)/0.1)*E39</f>
        <v>0</v>
      </c>
      <c r="H39" s="202">
        <f>SUM(G39:G62)</f>
        <v>0</v>
      </c>
      <c r="I39" s="203">
        <f ca="1">E18*(1+H39)</f>
        <v>14706384.990347678</v>
      </c>
      <c r="J39" s="184"/>
      <c r="K39" s="158"/>
      <c r="S39" s="158"/>
    </row>
    <row r="40" spans="1:19" ht="13.5" customHeight="1">
      <c r="A40" s="158"/>
      <c r="B40" s="158"/>
      <c r="C40" s="158"/>
      <c r="D40" s="191" t="s">
        <v>216</v>
      </c>
      <c r="E40" s="199">
        <v>0.1</v>
      </c>
      <c r="F40" s="202">
        <v>0</v>
      </c>
      <c r="G40" s="202">
        <f t="shared" si="0"/>
        <v>0</v>
      </c>
      <c r="H40" s="200"/>
      <c r="I40" s="198"/>
      <c r="J40" s="184"/>
      <c r="K40" s="158"/>
      <c r="S40" s="158"/>
    </row>
    <row r="41" spans="1:19" ht="13.5" customHeight="1">
      <c r="A41" s="158"/>
      <c r="B41" s="158"/>
      <c r="C41" s="158"/>
      <c r="D41" s="191" t="s">
        <v>343</v>
      </c>
      <c r="E41" s="194">
        <v>9.4328771329009464E-2</v>
      </c>
      <c r="F41" s="202">
        <v>0</v>
      </c>
      <c r="G41" s="202">
        <f t="shared" si="0"/>
        <v>0</v>
      </c>
      <c r="H41" s="158"/>
      <c r="I41" s="158"/>
      <c r="J41" s="184"/>
      <c r="K41" s="158"/>
      <c r="R41" s="158"/>
      <c r="S41" s="158"/>
    </row>
    <row r="42" spans="1:19" ht="14.25" customHeight="1">
      <c r="A42" s="158"/>
      <c r="B42" s="158"/>
      <c r="C42" s="158"/>
      <c r="D42" s="191" t="s">
        <v>344</v>
      </c>
      <c r="E42" s="195">
        <v>9.4299999999999995E-2</v>
      </c>
      <c r="F42" s="202">
        <v>0</v>
      </c>
      <c r="G42" s="202">
        <f t="shared" si="0"/>
        <v>0</v>
      </c>
      <c r="H42" s="158"/>
      <c r="I42" s="158"/>
      <c r="J42" s="184"/>
      <c r="K42" s="158"/>
      <c r="L42" s="158"/>
      <c r="M42" s="158"/>
      <c r="N42" s="158"/>
      <c r="O42" s="158"/>
      <c r="P42" s="158"/>
      <c r="Q42" s="158"/>
      <c r="R42" s="158"/>
      <c r="S42" s="158"/>
    </row>
    <row r="43" spans="1:19" ht="9.75" customHeight="1">
      <c r="A43" s="158"/>
      <c r="B43" s="158"/>
      <c r="C43" s="158"/>
      <c r="D43" s="191" t="s">
        <v>345</v>
      </c>
      <c r="E43" s="193">
        <v>6.8000000000000005E-2</v>
      </c>
      <c r="F43" s="202">
        <v>0</v>
      </c>
      <c r="G43" s="202">
        <f t="shared" si="0"/>
        <v>0</v>
      </c>
      <c r="H43" s="158"/>
      <c r="I43" s="158"/>
      <c r="J43" s="4"/>
      <c r="K43" s="158"/>
      <c r="L43" s="158"/>
      <c r="M43" s="158"/>
      <c r="N43" s="158"/>
      <c r="O43" s="158"/>
      <c r="P43" s="158"/>
      <c r="Q43" s="158"/>
      <c r="R43" s="158"/>
      <c r="S43" s="158"/>
    </row>
    <row r="44" spans="1:19" ht="9.75" customHeight="1">
      <c r="A44" s="158"/>
      <c r="B44" s="158"/>
      <c r="C44" s="158"/>
      <c r="D44" s="191" t="s">
        <v>346</v>
      </c>
      <c r="E44" s="193">
        <v>3.8899999999999997E-2</v>
      </c>
      <c r="F44" s="202">
        <v>0</v>
      </c>
      <c r="G44" s="202">
        <f t="shared" si="0"/>
        <v>0</v>
      </c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</row>
    <row r="45" spans="1:19" ht="9.75" customHeight="1">
      <c r="A45" s="158"/>
      <c r="B45" s="158"/>
      <c r="C45" s="158"/>
      <c r="D45" s="191" t="s">
        <v>221</v>
      </c>
      <c r="E45" s="193">
        <v>3.8899999999999997E-2</v>
      </c>
      <c r="F45" s="202">
        <v>0</v>
      </c>
      <c r="G45" s="202">
        <f t="shared" si="0"/>
        <v>0</v>
      </c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</row>
    <row r="46" spans="1:19" ht="9.75" customHeight="1">
      <c r="A46" s="158"/>
      <c r="B46" s="158"/>
      <c r="C46" s="158"/>
      <c r="D46" s="191" t="s">
        <v>347</v>
      </c>
      <c r="E46" s="192">
        <v>3.5999999999999997E-2</v>
      </c>
      <c r="F46" s="202">
        <v>0</v>
      </c>
      <c r="G46" s="202">
        <f t="shared" si="0"/>
        <v>0</v>
      </c>
      <c r="J46" s="158"/>
      <c r="K46" s="158"/>
      <c r="L46" s="158"/>
      <c r="M46" s="158"/>
      <c r="N46" s="158"/>
      <c r="O46" s="158"/>
      <c r="P46" s="158"/>
      <c r="Q46" s="158"/>
      <c r="R46" s="158"/>
      <c r="S46" s="158"/>
    </row>
    <row r="47" spans="1:19" ht="9.75" customHeight="1">
      <c r="A47" s="158"/>
      <c r="B47" s="158"/>
      <c r="C47" s="158"/>
      <c r="D47" s="191" t="s">
        <v>348</v>
      </c>
      <c r="E47" s="195">
        <v>3.5400000000000001E-2</v>
      </c>
      <c r="F47" s="202">
        <v>0</v>
      </c>
      <c r="G47" s="202">
        <f t="shared" si="0"/>
        <v>0</v>
      </c>
      <c r="J47" s="158"/>
      <c r="K47" s="158"/>
      <c r="L47" s="158"/>
      <c r="M47" s="158"/>
      <c r="N47" s="158"/>
      <c r="O47" s="158"/>
      <c r="P47" s="158"/>
      <c r="Q47" s="158"/>
      <c r="R47" s="158"/>
      <c r="S47" s="158"/>
    </row>
    <row r="48" spans="1:19" ht="9.75" customHeight="1">
      <c r="A48" s="158"/>
      <c r="B48" s="158"/>
      <c r="C48" s="158"/>
      <c r="D48" s="191" t="s">
        <v>349</v>
      </c>
      <c r="E48" s="194">
        <v>3.5378743773940832E-2</v>
      </c>
      <c r="F48" s="202">
        <v>0</v>
      </c>
      <c r="G48" s="202">
        <f t="shared" si="0"/>
        <v>0</v>
      </c>
      <c r="J48" s="158"/>
      <c r="K48" s="158"/>
      <c r="L48" s="158"/>
      <c r="M48" s="158"/>
      <c r="N48" s="158"/>
      <c r="O48" s="158"/>
      <c r="P48" s="158"/>
      <c r="Q48" s="158"/>
      <c r="R48" s="158"/>
      <c r="S48" s="158"/>
    </row>
    <row r="49" spans="1:19" ht="9.75" customHeight="1">
      <c r="A49" s="158"/>
      <c r="B49" s="158"/>
      <c r="C49" s="158"/>
      <c r="D49" s="191" t="s">
        <v>350</v>
      </c>
      <c r="E49" s="194">
        <v>3.5320671186367961E-2</v>
      </c>
      <c r="F49" s="202">
        <v>0</v>
      </c>
      <c r="G49" s="202">
        <f t="shared" si="0"/>
        <v>0</v>
      </c>
      <c r="J49" s="158"/>
      <c r="K49" s="158"/>
      <c r="L49" s="158"/>
      <c r="M49" s="158"/>
      <c r="N49" s="158"/>
      <c r="O49" s="158"/>
      <c r="P49" s="158"/>
      <c r="Q49" s="158"/>
      <c r="R49" s="158"/>
      <c r="S49" s="158"/>
    </row>
    <row r="50" spans="1:19" ht="9.75" customHeight="1">
      <c r="A50" s="158"/>
      <c r="B50" s="158"/>
      <c r="C50" s="158"/>
      <c r="D50" s="191" t="s">
        <v>351</v>
      </c>
      <c r="E50" s="194">
        <v>3.503809920730961E-2</v>
      </c>
      <c r="F50" s="202">
        <v>0</v>
      </c>
      <c r="G50" s="202">
        <f t="shared" si="0"/>
        <v>0</v>
      </c>
      <c r="J50" s="158"/>
      <c r="K50" s="158"/>
      <c r="L50" s="158"/>
      <c r="M50" s="158"/>
      <c r="N50" s="158"/>
      <c r="O50" s="158"/>
      <c r="P50" s="158"/>
      <c r="Q50" s="158"/>
      <c r="R50" s="158"/>
      <c r="S50" s="158"/>
    </row>
    <row r="51" spans="1:19" ht="9.75" customHeight="1">
      <c r="A51" s="158"/>
      <c r="B51" s="158"/>
      <c r="C51" s="158"/>
      <c r="D51" s="191" t="s">
        <v>352</v>
      </c>
      <c r="E51" s="195">
        <v>3.5000000000000003E-2</v>
      </c>
      <c r="F51" s="202">
        <v>0</v>
      </c>
      <c r="G51" s="202">
        <f t="shared" si="0"/>
        <v>0</v>
      </c>
      <c r="J51" s="158"/>
      <c r="K51" s="158"/>
      <c r="L51" s="158"/>
      <c r="M51" s="158"/>
      <c r="N51" s="158"/>
      <c r="O51" s="158"/>
      <c r="P51" s="158"/>
      <c r="Q51" s="158"/>
      <c r="R51" s="158"/>
      <c r="S51" s="158"/>
    </row>
    <row r="52" spans="1:19" ht="9.75" customHeight="1">
      <c r="A52" s="158"/>
      <c r="B52" s="158"/>
      <c r="C52" s="158"/>
      <c r="D52" s="204" t="s">
        <v>353</v>
      </c>
      <c r="E52" s="193">
        <v>3.2500000000000001E-2</v>
      </c>
      <c r="F52" s="202">
        <v>0</v>
      </c>
      <c r="G52" s="202">
        <f t="shared" si="0"/>
        <v>0</v>
      </c>
      <c r="J52" s="158"/>
      <c r="K52" s="158"/>
      <c r="L52" s="158"/>
      <c r="M52" s="158"/>
      <c r="N52" s="158"/>
      <c r="O52" s="158"/>
      <c r="P52" s="158"/>
      <c r="Q52" s="158"/>
      <c r="R52" s="158"/>
      <c r="S52" s="158"/>
    </row>
    <row r="53" spans="1:19" ht="9.75" customHeight="1">
      <c r="A53" s="158"/>
      <c r="B53" s="158"/>
      <c r="C53" s="158"/>
      <c r="D53" s="191" t="s">
        <v>223</v>
      </c>
      <c r="E53" s="193">
        <v>2.9499999999999998E-2</v>
      </c>
      <c r="F53" s="202">
        <v>0</v>
      </c>
      <c r="G53" s="202">
        <f t="shared" si="0"/>
        <v>0</v>
      </c>
      <c r="J53" s="158"/>
      <c r="K53" s="158"/>
      <c r="L53" s="158"/>
      <c r="M53" s="158"/>
      <c r="N53" s="158"/>
      <c r="O53" s="158"/>
      <c r="P53" s="158"/>
      <c r="Q53" s="158"/>
      <c r="R53" s="158"/>
      <c r="S53" s="158"/>
    </row>
    <row r="54" spans="1:19" ht="9.75" customHeight="1">
      <c r="A54" s="158"/>
      <c r="B54" s="158"/>
      <c r="C54" s="158"/>
      <c r="D54" s="191" t="s">
        <v>354</v>
      </c>
      <c r="E54" s="193">
        <v>2.9499999999999998E-2</v>
      </c>
      <c r="F54" s="202">
        <v>0</v>
      </c>
      <c r="G54" s="202">
        <f t="shared" si="0"/>
        <v>0</v>
      </c>
      <c r="J54" s="158"/>
      <c r="K54" s="158"/>
      <c r="L54" s="158"/>
      <c r="M54" s="158"/>
      <c r="N54" s="158"/>
      <c r="O54" s="158"/>
      <c r="P54" s="158"/>
      <c r="Q54" s="158"/>
      <c r="R54" s="158"/>
      <c r="S54" s="158"/>
    </row>
    <row r="55" spans="1:19" ht="9.75" customHeight="1">
      <c r="A55" s="158"/>
      <c r="B55" s="158"/>
      <c r="C55" s="158"/>
      <c r="D55" s="191" t="s">
        <v>45</v>
      </c>
      <c r="E55" s="194">
        <v>-2.901832874277338E-2</v>
      </c>
      <c r="F55" s="202">
        <v>0</v>
      </c>
      <c r="G55" s="202">
        <f t="shared" si="0"/>
        <v>0</v>
      </c>
      <c r="J55" s="158"/>
      <c r="K55" s="158"/>
      <c r="L55" s="158"/>
      <c r="M55" s="158"/>
      <c r="N55" s="158"/>
      <c r="O55" s="158"/>
      <c r="P55" s="158"/>
      <c r="Q55" s="158"/>
      <c r="R55" s="158"/>
      <c r="S55" s="158"/>
    </row>
    <row r="56" spans="1:19" ht="9.75" customHeight="1">
      <c r="A56" s="158"/>
      <c r="B56" s="158"/>
      <c r="C56" s="158"/>
      <c r="D56" s="191" t="s">
        <v>137</v>
      </c>
      <c r="E56" s="194">
        <v>-4.1695823362098677E-2</v>
      </c>
      <c r="F56" s="202">
        <v>0</v>
      </c>
      <c r="G56" s="202">
        <f t="shared" si="0"/>
        <v>0</v>
      </c>
      <c r="J56" s="158"/>
      <c r="K56" s="158"/>
      <c r="L56" s="158"/>
      <c r="M56" s="158"/>
      <c r="N56" s="158"/>
      <c r="O56" s="158"/>
      <c r="P56" s="158"/>
      <c r="Q56" s="158"/>
      <c r="R56" s="158"/>
      <c r="S56" s="158"/>
    </row>
    <row r="57" spans="1:19" ht="9.75" customHeight="1">
      <c r="A57" s="158"/>
      <c r="B57" s="158"/>
      <c r="C57" s="158"/>
      <c r="D57" s="197" t="s">
        <v>63</v>
      </c>
      <c r="E57" s="194">
        <v>-5.1467364744538953E-2</v>
      </c>
      <c r="F57" s="202">
        <v>0</v>
      </c>
      <c r="G57" s="202">
        <f t="shared" si="0"/>
        <v>0</v>
      </c>
      <c r="J57" s="158"/>
      <c r="K57" s="158"/>
      <c r="L57" s="158"/>
      <c r="M57" s="158"/>
      <c r="N57" s="158"/>
      <c r="O57" s="158"/>
      <c r="P57" s="158"/>
      <c r="Q57" s="158"/>
      <c r="R57" s="158"/>
      <c r="S57" s="158"/>
    </row>
    <row r="58" spans="1:19" ht="9.75" customHeight="1">
      <c r="A58" s="158"/>
      <c r="B58" s="158"/>
      <c r="C58" s="158"/>
      <c r="D58" s="191" t="s">
        <v>123</v>
      </c>
      <c r="E58" s="194">
        <v>-5.6419918390059977E-2</v>
      </c>
      <c r="F58" s="202">
        <v>0</v>
      </c>
      <c r="G58" s="202">
        <f t="shared" si="0"/>
        <v>0</v>
      </c>
      <c r="J58" s="158"/>
      <c r="K58" s="158"/>
      <c r="L58" s="158"/>
      <c r="M58" s="158"/>
      <c r="N58" s="158"/>
      <c r="O58" s="158"/>
      <c r="P58" s="158"/>
      <c r="Q58" s="158"/>
      <c r="R58" s="158"/>
      <c r="S58" s="158"/>
    </row>
    <row r="59" spans="1:19" ht="9.75" customHeight="1">
      <c r="A59" s="158"/>
      <c r="B59" s="158"/>
      <c r="C59" s="158"/>
      <c r="D59" s="191" t="s">
        <v>355</v>
      </c>
      <c r="E59" s="194">
        <v>-0.10293325280229559</v>
      </c>
      <c r="F59" s="202">
        <v>0</v>
      </c>
      <c r="G59" s="202">
        <f t="shared" si="0"/>
        <v>0</v>
      </c>
      <c r="J59" s="158"/>
      <c r="K59" s="158"/>
      <c r="L59" s="158"/>
      <c r="M59" s="158"/>
      <c r="N59" s="158"/>
      <c r="O59" s="158"/>
      <c r="P59" s="158"/>
      <c r="Q59" s="158"/>
      <c r="R59" s="158"/>
      <c r="S59" s="158"/>
    </row>
    <row r="60" spans="1:19" ht="9.75" customHeight="1">
      <c r="A60" s="158"/>
      <c r="B60" s="158"/>
      <c r="C60" s="158"/>
      <c r="D60" s="191" t="s">
        <v>46</v>
      </c>
      <c r="E60" s="192">
        <v>-0.14509003330617459</v>
      </c>
      <c r="F60" s="202">
        <v>0</v>
      </c>
      <c r="G60" s="202">
        <f t="shared" si="0"/>
        <v>0</v>
      </c>
      <c r="J60" s="158"/>
      <c r="K60" s="158"/>
      <c r="L60" s="158"/>
      <c r="M60" s="158"/>
      <c r="N60" s="158"/>
      <c r="O60" s="158"/>
      <c r="P60" s="158"/>
      <c r="Q60" s="158"/>
      <c r="R60" s="158"/>
      <c r="S60" s="158"/>
    </row>
    <row r="61" spans="1:19" ht="9.75" customHeight="1">
      <c r="A61" s="158"/>
      <c r="B61" s="158"/>
      <c r="C61" s="158"/>
      <c r="D61" s="190" t="s">
        <v>49</v>
      </c>
      <c r="E61" s="192">
        <v>-0.16846506232282429</v>
      </c>
      <c r="F61" s="202">
        <v>0</v>
      </c>
      <c r="G61" s="202">
        <f t="shared" si="0"/>
        <v>0</v>
      </c>
      <c r="J61" s="158"/>
      <c r="K61" s="158"/>
      <c r="L61" s="158"/>
      <c r="M61" s="158"/>
      <c r="N61" s="158"/>
      <c r="O61" s="158"/>
      <c r="P61" s="158"/>
      <c r="Q61" s="158"/>
      <c r="R61" s="158"/>
      <c r="S61" s="158"/>
    </row>
    <row r="62" spans="1:19" ht="9.75" customHeight="1">
      <c r="A62" s="158"/>
      <c r="B62" s="158"/>
      <c r="C62" s="158"/>
      <c r="D62" s="191" t="s">
        <v>51</v>
      </c>
      <c r="E62" s="193">
        <v>-0.29018113056081368</v>
      </c>
      <c r="F62" s="202">
        <v>0</v>
      </c>
      <c r="G62" s="202">
        <f t="shared" si="0"/>
        <v>0</v>
      </c>
      <c r="J62" s="158"/>
      <c r="K62" s="158"/>
      <c r="L62" s="158"/>
      <c r="M62" s="158"/>
      <c r="N62" s="158"/>
      <c r="O62" s="158"/>
      <c r="P62" s="158"/>
      <c r="Q62" s="158"/>
      <c r="R62" s="158"/>
      <c r="S62" s="158"/>
    </row>
    <row r="63" spans="1:19" ht="9.75" customHeight="1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</row>
    <row r="64" spans="1:19" ht="9.75" customHeight="1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</row>
    <row r="65" spans="1:19" ht="9.75" customHeight="1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</row>
    <row r="66" spans="1:19" ht="9.75" customHeight="1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</row>
    <row r="67" spans="1:19" ht="9.75" customHeight="1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</row>
    <row r="68" spans="1:19" ht="9.75" customHeight="1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</row>
    <row r="69" spans="1:19" ht="9.75" customHeight="1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</row>
    <row r="70" spans="1:19" ht="9.75" customHeight="1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</row>
    <row r="71" spans="1:19" ht="9.75" customHeight="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</row>
    <row r="72" spans="1:19" ht="9.75" customHeight="1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</row>
    <row r="73" spans="1:19" ht="9.75" customHeight="1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</row>
    <row r="74" spans="1:19" ht="9.75" customHeight="1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</row>
    <row r="75" spans="1:19" ht="9.75" customHeight="1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</row>
    <row r="76" spans="1:19" ht="9.75" customHeight="1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</row>
    <row r="77" spans="1:19" ht="9.75" customHeight="1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</row>
    <row r="78" spans="1:19" ht="9.75" customHeight="1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</row>
    <row r="79" spans="1:19" ht="9.75" customHeight="1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</row>
    <row r="80" spans="1:19" ht="9.75" customHeight="1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</row>
    <row r="81" spans="1:19" ht="9.75" customHeight="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</row>
    <row r="82" spans="1:19" ht="9.75" customHeight="1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</row>
    <row r="83" spans="1:19" ht="9.75" customHeight="1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</row>
    <row r="84" spans="1:19" ht="9.75" customHeight="1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</row>
    <row r="85" spans="1:19" ht="9.75" customHeight="1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</row>
    <row r="86" spans="1:19" ht="9.75" customHeight="1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</row>
    <row r="87" spans="1:19" ht="9.75" customHeight="1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</row>
    <row r="88" spans="1:19" ht="9.75" customHeight="1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</row>
    <row r="89" spans="1:19" ht="9.75" customHeight="1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</row>
    <row r="90" spans="1:19" ht="9.75" customHeight="1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</row>
    <row r="91" spans="1:19" ht="9.75" customHeight="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</row>
    <row r="92" spans="1:19" ht="9.75" customHeight="1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</row>
    <row r="93" spans="1:19" ht="9.75" customHeight="1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</row>
    <row r="94" spans="1:19" ht="9.75" customHeight="1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</row>
    <row r="95" spans="1:19" ht="9.75" customHeight="1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</row>
    <row r="96" spans="1:19" ht="9.75" customHeight="1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</row>
    <row r="97" spans="1:19" ht="9.75" customHeight="1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</row>
    <row r="98" spans="1:19" ht="9.75" customHeight="1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</row>
    <row r="99" spans="1:19" ht="9.75" customHeight="1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</row>
    <row r="100" spans="1:19" ht="9.75" customHeight="1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</row>
    <row r="101" spans="1:19" ht="9.75" customHeight="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</row>
    <row r="102" spans="1:19" ht="9.75" customHeight="1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</row>
    <row r="103" spans="1:19" ht="9.75" customHeight="1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</row>
    <row r="104" spans="1:19" ht="9.75" customHeight="1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</row>
    <row r="105" spans="1:19" ht="9.75" customHeight="1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</row>
    <row r="106" spans="1:19" ht="9.75" customHeight="1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</row>
    <row r="107" spans="1:19" ht="9.75" customHeight="1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</row>
    <row r="108" spans="1:19" ht="9.75" customHeight="1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</row>
    <row r="109" spans="1:19" ht="9.75" customHeight="1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</row>
    <row r="110" spans="1:19" ht="9.75" customHeight="1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</row>
    <row r="111" spans="1:19" ht="9.75" customHeight="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</row>
    <row r="112" spans="1:19" ht="9.75" customHeight="1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</row>
    <row r="113" spans="1:19" ht="9.75" customHeight="1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</row>
    <row r="114" spans="1:19" ht="9.75" customHeight="1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</row>
    <row r="115" spans="1:19" ht="9.75" customHeight="1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</row>
    <row r="116" spans="1:19" ht="9.75" customHeight="1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</row>
    <row r="117" spans="1:19" ht="9.75" customHeight="1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</row>
    <row r="118" spans="1:19" ht="9.75" customHeight="1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</row>
    <row r="119" spans="1:19" ht="9.75" customHeight="1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</row>
    <row r="120" spans="1:19" ht="9.75" customHeight="1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</row>
    <row r="121" spans="1:19" ht="9.75" customHeight="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</row>
    <row r="122" spans="1:19" ht="9.75" customHeight="1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</row>
    <row r="123" spans="1:19" ht="9.75" customHeight="1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</row>
    <row r="124" spans="1:19" ht="9.75" customHeight="1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</row>
    <row r="125" spans="1:19" ht="9.75" customHeight="1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</row>
    <row r="126" spans="1:19" ht="9.75" customHeight="1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</row>
    <row r="127" spans="1:19" ht="9.75" customHeight="1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</row>
    <row r="128" spans="1:19" ht="9.75" customHeight="1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</row>
    <row r="129" spans="1:19" ht="9.75" customHeight="1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spans="1:19" ht="9.75" customHeight="1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</row>
    <row r="131" spans="1:19" ht="9.75" customHeight="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 spans="1:19" ht="9.75" customHeight="1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 spans="1:19" ht="9.75" customHeight="1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 spans="1:19" ht="9.75" customHeight="1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 spans="1:19" ht="9.75" customHeight="1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 spans="1:19" ht="9.75" customHeight="1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 spans="1:19" ht="9.75" customHeight="1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spans="1:19" ht="9.75" customHeight="1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spans="1:19" ht="9.75" customHeight="1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</row>
    <row r="140" spans="1:19" ht="9.75" customHeight="1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 spans="1:19" ht="9.75" customHeight="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 spans="1:19" ht="9.75" customHeight="1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 spans="1:19" ht="9.75" customHeight="1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 spans="1:19" ht="9.75" customHeight="1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 spans="1:19" ht="9.75" customHeight="1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 spans="1:19" ht="9.75" customHeight="1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 spans="1:19" ht="9.75" customHeight="1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 spans="1:19" ht="9.75" customHeight="1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 spans="1:19" ht="9.75" customHeight="1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 spans="1:19" ht="9.75" customHeight="1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 spans="1:19" ht="9.75" customHeight="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 spans="1:19" ht="9.75" customHeight="1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 spans="1:19" ht="9.75" customHeight="1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 spans="1:19" ht="9.75" customHeight="1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 spans="1:19" ht="9.75" customHeight="1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 spans="1:19" ht="9.75" customHeight="1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 spans="1:19" ht="9.75" customHeight="1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 spans="1:19" ht="9.75" customHeight="1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 spans="1:19" ht="9.75" customHeight="1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 spans="1:19" ht="9.75" customHeight="1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 spans="1:19" ht="9.75" customHeight="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 spans="1:19" ht="9.75" customHeight="1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 spans="1:19" ht="9.75" customHeight="1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 spans="1:19" ht="9.75" customHeight="1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 spans="1:19" ht="9.75" customHeight="1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 spans="1:19" ht="9.75" customHeight="1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 spans="1:19" ht="9.75" customHeight="1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 spans="1:19" ht="9.75" customHeight="1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 spans="1:19" ht="9.75" customHeight="1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 spans="1:19" ht="9.75" customHeight="1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 spans="1:19" ht="9.75" customHeight="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 spans="1:19" ht="9.75" customHeight="1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 spans="1:19" ht="9.75" customHeight="1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 spans="1:19" ht="9.75" customHeight="1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 spans="1:19" ht="9.75" customHeight="1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 spans="1:19" ht="9.75" customHeight="1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 spans="1:19" ht="9.75" customHeight="1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 spans="1:19" ht="9.75" customHeight="1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 spans="1:19" ht="9.75" customHeight="1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 spans="1:19" ht="9.75" customHeight="1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 spans="1:19" ht="9.75" customHeight="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 spans="1:19" ht="9.75" customHeight="1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 spans="1:19" ht="9.75" customHeight="1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 spans="1:19" ht="9.75" customHeight="1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 spans="1:19" ht="9.75" customHeight="1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  <row r="186" spans="1:19" ht="9.75" customHeight="1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</row>
    <row r="187" spans="1:19" ht="9.75" customHeight="1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</row>
    <row r="188" spans="1:19" ht="9.75" customHeight="1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</row>
    <row r="189" spans="1:19" ht="9.75" customHeight="1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</row>
    <row r="190" spans="1:19" ht="9.75" customHeight="1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</row>
    <row r="191" spans="1:19" ht="9.75" customHeight="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</row>
    <row r="192" spans="1:19" ht="9.75" customHeight="1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</row>
    <row r="193" spans="1:19" ht="9.75" customHeight="1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</row>
    <row r="194" spans="1:19" ht="9.75" customHeight="1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</row>
    <row r="195" spans="1:19" ht="9.75" customHeight="1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</row>
    <row r="196" spans="1:19" ht="9.75" customHeight="1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</row>
    <row r="197" spans="1:19" ht="9.75" customHeight="1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</row>
    <row r="198" spans="1:19" ht="9.75" customHeight="1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</row>
    <row r="199" spans="1:19" ht="9.75" customHeight="1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</row>
    <row r="200" spans="1:19" ht="9.75" customHeight="1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</row>
    <row r="201" spans="1:19" ht="9.75" customHeight="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</row>
    <row r="202" spans="1:19" ht="9.75" customHeight="1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</row>
    <row r="203" spans="1:19" ht="9.75" customHeight="1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</row>
    <row r="204" spans="1:19" ht="9.75" customHeight="1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</row>
    <row r="205" spans="1:19" ht="9.75" customHeight="1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</row>
    <row r="206" spans="1:19" ht="9.75" customHeight="1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</row>
    <row r="207" spans="1:19" ht="9.75" customHeight="1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</row>
    <row r="208" spans="1:19" ht="9.75" customHeight="1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</row>
    <row r="209" spans="1:19" ht="9.75" customHeight="1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</row>
    <row r="210" spans="1:19" ht="9.75" customHeight="1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</row>
    <row r="211" spans="1:19" ht="9.75" customHeight="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</row>
    <row r="212" spans="1:19" ht="9.75" customHeight="1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</row>
    <row r="213" spans="1:19" ht="9.75" customHeight="1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</row>
    <row r="214" spans="1:19" ht="9.75" customHeight="1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</row>
    <row r="215" spans="1:19" ht="9.75" customHeight="1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</row>
    <row r="216" spans="1:19" ht="9.75" customHeight="1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</row>
    <row r="217" spans="1:19" ht="9.75" customHeight="1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</row>
    <row r="218" spans="1:19" ht="9.75" customHeight="1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</row>
    <row r="219" spans="1:19" ht="9.75" customHeight="1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</row>
    <row r="220" spans="1:19" ht="9.75" customHeight="1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</row>
    <row r="221" spans="1:19" ht="9.75" customHeight="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</row>
    <row r="222" spans="1:19" ht="9.75" customHeight="1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</row>
    <row r="223" spans="1:19" ht="9.75" customHeight="1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</row>
    <row r="224" spans="1:19" ht="9.75" customHeight="1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</row>
    <row r="225" spans="1:19" ht="9.75" customHeight="1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</row>
    <row r="226" spans="1:19" ht="9.75" customHeight="1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</row>
    <row r="227" spans="1:19" ht="9.75" customHeight="1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</row>
    <row r="228" spans="1:19" ht="9.75" customHeight="1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</row>
    <row r="229" spans="1:19" ht="9.75" customHeight="1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</row>
    <row r="230" spans="1:19" ht="9.75" customHeight="1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</row>
    <row r="231" spans="1:19" ht="9.75" customHeight="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</row>
    <row r="232" spans="1:19" ht="9.75" customHeight="1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</row>
    <row r="233" spans="1:19" ht="9.75" customHeight="1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</row>
    <row r="234" spans="1:19" ht="9.75" customHeight="1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</row>
    <row r="235" spans="1:19" ht="9.75" customHeight="1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</row>
    <row r="236" spans="1:19" ht="9.75" customHeight="1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</row>
    <row r="237" spans="1:19" ht="9.75" customHeight="1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</row>
    <row r="238" spans="1:19" ht="9.75" customHeight="1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</row>
    <row r="239" spans="1:19" ht="9.75" customHeight="1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</row>
    <row r="240" spans="1:19" ht="9.75" customHeight="1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</row>
    <row r="241" spans="1:19" ht="9.75" customHeight="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</row>
    <row r="242" spans="1:19" ht="9.75" customHeight="1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</row>
    <row r="243" spans="1:19" ht="9.75" customHeight="1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</row>
    <row r="244" spans="1:19" ht="9.75" customHeight="1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</row>
    <row r="245" spans="1:19" ht="9.75" customHeight="1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</row>
    <row r="246" spans="1:19" ht="9.75" customHeight="1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</row>
    <row r="247" spans="1:19" ht="9.75" customHeight="1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</row>
    <row r="248" spans="1:19" ht="9.75" customHeight="1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</row>
    <row r="249" spans="1:19" ht="9.75" customHeight="1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</row>
    <row r="250" spans="1:19" ht="9.75" customHeight="1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</row>
    <row r="251" spans="1:19" ht="9.75" customHeight="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</row>
    <row r="252" spans="1:19" ht="9.75" customHeight="1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</row>
    <row r="253" spans="1:19" ht="9.75" customHeight="1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</row>
    <row r="254" spans="1:19" ht="9.75" customHeight="1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</row>
    <row r="255" spans="1:19" ht="9.75" customHeight="1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</row>
    <row r="256" spans="1:19" ht="9.75" customHeight="1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</row>
    <row r="257" spans="1:19" ht="9.75" customHeight="1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</row>
    <row r="258" spans="1:19" ht="9.75" customHeight="1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</row>
    <row r="259" spans="1:19" ht="9.75" customHeight="1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</row>
    <row r="260" spans="1:19" ht="9.75" customHeight="1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</row>
    <row r="261" spans="1:19" ht="9.75" customHeight="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</row>
    <row r="262" spans="1:19" ht="9.75" customHeight="1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</row>
    <row r="263" spans="1:19" ht="9.75" customHeight="1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</row>
    <row r="264" spans="1:19" ht="9.75" customHeight="1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</row>
    <row r="265" spans="1:19" ht="9.75" customHeight="1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</row>
    <row r="266" spans="1:19" ht="9.75" customHeight="1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</row>
    <row r="267" spans="1:19" ht="9.75" customHeight="1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</row>
    <row r="268" spans="1:19" ht="9.75" customHeight="1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</row>
    <row r="269" spans="1:19" ht="9.75" customHeight="1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</row>
    <row r="270" spans="1:19" ht="9.75" customHeight="1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</row>
    <row r="271" spans="1:19" ht="9.75" customHeight="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</row>
    <row r="272" spans="1:19" ht="9.75" customHeight="1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</row>
    <row r="273" spans="1:19" ht="9.75" customHeight="1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</row>
    <row r="274" spans="1:19" ht="9.75" customHeight="1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</row>
    <row r="275" spans="1:19" ht="9.75" customHeight="1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</row>
    <row r="276" spans="1:19" ht="9.75" customHeight="1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</row>
    <row r="277" spans="1:19" ht="9.75" customHeight="1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</row>
    <row r="278" spans="1:19" ht="9.75" customHeight="1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</row>
    <row r="279" spans="1:19" ht="9.75" customHeight="1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</row>
    <row r="280" spans="1:19" ht="9.75" customHeight="1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</row>
    <row r="281" spans="1:19" ht="9.75" customHeight="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</row>
    <row r="282" spans="1:19" ht="9.75" customHeight="1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</row>
    <row r="283" spans="1:19" ht="9.75" customHeight="1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</row>
    <row r="284" spans="1:19" ht="9.75" customHeight="1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</row>
    <row r="285" spans="1:19" ht="9.75" customHeight="1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</row>
    <row r="286" spans="1:19" ht="9.75" customHeight="1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</row>
    <row r="287" spans="1:19" ht="9.75" customHeight="1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</row>
    <row r="288" spans="1:19" ht="9.75" customHeight="1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</row>
    <row r="289" spans="1:19" ht="9.75" customHeight="1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</row>
    <row r="290" spans="1:19" ht="9.75" customHeight="1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</row>
    <row r="291" spans="1:19" ht="9.75" customHeight="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</row>
    <row r="292" spans="1:19" ht="9.75" customHeight="1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</row>
    <row r="293" spans="1:19" ht="9.75" customHeight="1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</row>
    <row r="294" spans="1:19" ht="9.75" customHeight="1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</row>
    <row r="295" spans="1:19" ht="9.75" customHeight="1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</row>
    <row r="296" spans="1:19" ht="9.75" customHeight="1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</row>
    <row r="297" spans="1:19" ht="9.75" customHeight="1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</row>
    <row r="298" spans="1:19" ht="9.75" customHeight="1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</row>
    <row r="299" spans="1:19" ht="9.75" customHeight="1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</row>
    <row r="300" spans="1:19" ht="9.75" customHeight="1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</row>
    <row r="301" spans="1:19" ht="9.75" customHeight="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</row>
    <row r="302" spans="1:19" ht="9.75" customHeight="1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</row>
    <row r="303" spans="1:19" ht="9.75" customHeight="1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</row>
    <row r="304" spans="1:19" ht="9.75" customHeight="1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</row>
    <row r="305" spans="1:19" ht="9.75" customHeight="1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</row>
    <row r="306" spans="1:19" ht="9.75" customHeight="1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</row>
    <row r="307" spans="1:19" ht="9.75" customHeight="1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</row>
    <row r="308" spans="1:19" ht="9.75" customHeight="1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</row>
    <row r="309" spans="1:19" ht="9.75" customHeight="1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</row>
    <row r="310" spans="1:19" ht="9.75" customHeight="1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</row>
    <row r="311" spans="1:19" ht="9.75" customHeight="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</row>
    <row r="312" spans="1:19" ht="9.75" customHeight="1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</row>
    <row r="313" spans="1:19" ht="9.75" customHeight="1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</row>
    <row r="314" spans="1:19" ht="9.75" customHeight="1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</row>
    <row r="315" spans="1:19" ht="9.75" customHeight="1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</row>
    <row r="316" spans="1:19" ht="9.75" customHeight="1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</row>
    <row r="317" spans="1:19" ht="9.75" customHeight="1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</row>
    <row r="318" spans="1:19" ht="9.75" customHeight="1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</row>
    <row r="319" spans="1:19" ht="9.75" customHeight="1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</row>
    <row r="320" spans="1:19" ht="9.75" customHeight="1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</row>
    <row r="321" spans="1:19" ht="9.75" customHeight="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</row>
    <row r="322" spans="1:19" ht="9.75" customHeight="1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</row>
    <row r="323" spans="1:19" ht="9.75" customHeight="1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</row>
    <row r="324" spans="1:19" ht="9.75" customHeight="1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</row>
    <row r="325" spans="1:19" ht="9.75" customHeight="1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</row>
    <row r="326" spans="1:19" ht="9.75" customHeight="1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</row>
    <row r="327" spans="1:19" ht="9.75" customHeight="1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</row>
    <row r="328" spans="1:19" ht="9.75" customHeight="1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</row>
    <row r="329" spans="1:19" ht="9.75" customHeight="1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</row>
    <row r="330" spans="1:19" ht="9.75" customHeight="1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</row>
    <row r="331" spans="1:19" ht="9.75" customHeight="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</row>
    <row r="332" spans="1:19" ht="9.75" customHeight="1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</row>
    <row r="333" spans="1:19" ht="9.75" customHeight="1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</row>
    <row r="334" spans="1:19" ht="9.75" customHeight="1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</row>
    <row r="335" spans="1:19" ht="9.75" customHeight="1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</row>
    <row r="336" spans="1:19" ht="9.75" customHeight="1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</row>
    <row r="337" spans="1:19" ht="9.75" customHeight="1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</row>
    <row r="338" spans="1:19" ht="9.75" customHeight="1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</row>
    <row r="339" spans="1:19" ht="9.75" customHeight="1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</row>
    <row r="340" spans="1:19" ht="9.75" customHeight="1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</row>
    <row r="341" spans="1:19" ht="9.75" customHeight="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</row>
    <row r="342" spans="1:19" ht="9.75" customHeight="1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</row>
    <row r="343" spans="1:19" ht="9.75" customHeight="1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</row>
    <row r="344" spans="1:19" ht="9.75" customHeight="1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</row>
    <row r="345" spans="1:19" ht="9.75" customHeight="1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</row>
    <row r="346" spans="1:19" ht="9.75" customHeight="1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</row>
    <row r="347" spans="1:19" ht="9.75" customHeight="1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</row>
    <row r="348" spans="1:19" ht="9.75" customHeight="1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</row>
    <row r="349" spans="1:19" ht="9.75" customHeight="1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</row>
    <row r="350" spans="1:19" ht="9.75" customHeight="1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</row>
    <row r="351" spans="1:19" ht="9.75" customHeight="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</row>
    <row r="352" spans="1:19" ht="9.75" customHeight="1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</row>
    <row r="353" spans="1:19" ht="9.75" customHeight="1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</row>
    <row r="354" spans="1:19" ht="9.75" customHeight="1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</row>
    <row r="355" spans="1:19" ht="9.75" customHeight="1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</row>
    <row r="356" spans="1:19" ht="9.75" customHeight="1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</row>
    <row r="357" spans="1:19" ht="9.75" customHeight="1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</row>
    <row r="358" spans="1:19" ht="9.75" customHeight="1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</row>
    <row r="359" spans="1:19" ht="9.75" customHeight="1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</row>
    <row r="360" spans="1:19" ht="9.75" customHeight="1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</row>
    <row r="361" spans="1:19" ht="9.75" customHeight="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</row>
    <row r="362" spans="1:19" ht="9.75" customHeight="1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</row>
    <row r="363" spans="1:19" ht="9.75" customHeight="1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</row>
    <row r="364" spans="1:19" ht="9.75" customHeight="1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</row>
    <row r="365" spans="1:19" ht="9.75" customHeight="1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</row>
    <row r="366" spans="1:19" ht="9.75" customHeight="1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</row>
    <row r="367" spans="1:19" ht="9.75" customHeight="1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</row>
    <row r="368" spans="1:19" ht="9.75" customHeight="1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</row>
    <row r="369" spans="1:19" ht="9.75" customHeight="1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</row>
    <row r="370" spans="1:19" ht="9.75" customHeight="1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</row>
    <row r="371" spans="1:19" ht="9.75" customHeight="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</row>
    <row r="372" spans="1:19" ht="9.75" customHeight="1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</row>
    <row r="373" spans="1:19" ht="9.75" customHeight="1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</row>
    <row r="374" spans="1:19" ht="9.75" customHeight="1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</row>
    <row r="375" spans="1:19" ht="9.75" customHeight="1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</row>
    <row r="376" spans="1:19" ht="9.75" customHeight="1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</row>
    <row r="377" spans="1:19" ht="9.75" customHeight="1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</row>
    <row r="378" spans="1:19" ht="9.75" customHeight="1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</row>
    <row r="379" spans="1:19" ht="9.75" customHeight="1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</row>
    <row r="380" spans="1:19" ht="9.75" customHeight="1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</row>
    <row r="381" spans="1:19" ht="9.75" customHeight="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</row>
    <row r="382" spans="1:19" ht="9.75" customHeight="1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</row>
    <row r="383" spans="1:19" ht="9.75" customHeight="1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</row>
    <row r="384" spans="1:19" ht="9.75" customHeight="1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</row>
    <row r="385" spans="1:19" ht="9.75" customHeight="1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</row>
    <row r="386" spans="1:19" ht="9.75" customHeight="1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</row>
    <row r="387" spans="1:19" ht="9.75" customHeight="1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</row>
    <row r="388" spans="1:19" ht="9.75" customHeight="1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</row>
    <row r="389" spans="1:19" ht="9.75" customHeight="1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</row>
    <row r="390" spans="1:19" ht="9.75" customHeight="1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</row>
    <row r="391" spans="1:19" ht="9.75" customHeight="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</row>
    <row r="392" spans="1:19" ht="9.75" customHeight="1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</row>
    <row r="393" spans="1:19" ht="9.75" customHeight="1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</row>
    <row r="394" spans="1:19" ht="9.75" customHeight="1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</row>
    <row r="395" spans="1:19" ht="9.75" customHeight="1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</row>
    <row r="396" spans="1:19" ht="9.75" customHeight="1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</row>
    <row r="397" spans="1:19" ht="9.75" customHeight="1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</row>
    <row r="398" spans="1:19" ht="9.75" customHeight="1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</row>
    <row r="399" spans="1:19" ht="9.75" customHeight="1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</row>
    <row r="400" spans="1:19" ht="9.75" customHeight="1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</row>
    <row r="401" spans="1:19" ht="9.75" customHeight="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</row>
    <row r="402" spans="1:19" ht="9.75" customHeight="1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</row>
    <row r="403" spans="1:19" ht="9.75" customHeight="1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</row>
    <row r="404" spans="1:19" ht="9.75" customHeight="1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</row>
    <row r="405" spans="1:19" ht="9.75" customHeight="1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</row>
    <row r="406" spans="1:19" ht="9.75" customHeight="1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</row>
    <row r="407" spans="1:19" ht="9.75" customHeight="1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</row>
    <row r="408" spans="1:19" ht="9.75" customHeight="1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</row>
    <row r="409" spans="1:19" ht="9.75" customHeight="1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</row>
    <row r="410" spans="1:19" ht="9.75" customHeight="1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</row>
    <row r="411" spans="1:19" ht="9.75" customHeight="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</row>
    <row r="412" spans="1:19" ht="9.75" customHeight="1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</row>
    <row r="413" spans="1:19" ht="9.75" customHeight="1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</row>
    <row r="414" spans="1:19" ht="9.75" customHeight="1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</row>
    <row r="415" spans="1:19" ht="9.75" customHeight="1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</row>
    <row r="416" spans="1:19" ht="9.75" customHeight="1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</row>
    <row r="417" spans="1:19" ht="9.75" customHeight="1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</row>
    <row r="418" spans="1:19" ht="9.75" customHeight="1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</row>
    <row r="419" spans="1:19" ht="9.75" customHeight="1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</row>
    <row r="420" spans="1:19" ht="9.75" customHeight="1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</row>
    <row r="421" spans="1:19" ht="9.75" customHeight="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</row>
    <row r="422" spans="1:19" ht="9.75" customHeight="1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</row>
    <row r="423" spans="1:19" ht="9.75" customHeight="1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</row>
    <row r="424" spans="1:19" ht="9.75" customHeight="1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</row>
    <row r="425" spans="1:19" ht="9.75" customHeight="1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</row>
    <row r="426" spans="1:19" ht="9.75" customHeight="1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</row>
    <row r="427" spans="1:19" ht="9.75" customHeight="1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</row>
    <row r="428" spans="1:19" ht="9.75" customHeight="1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</row>
    <row r="429" spans="1:19" ht="9.75" customHeight="1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</row>
    <row r="430" spans="1:19" ht="9.75" customHeight="1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</row>
    <row r="431" spans="1:19" ht="9.75" customHeight="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</row>
    <row r="432" spans="1:19" ht="9.75" customHeight="1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</row>
    <row r="433" spans="1:19" ht="9.75" customHeight="1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</row>
    <row r="434" spans="1:19" ht="9.75" customHeight="1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</row>
    <row r="435" spans="1:19" ht="9.75" customHeight="1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</row>
    <row r="436" spans="1:19" ht="9.75" customHeight="1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</row>
    <row r="437" spans="1:19" ht="9.75" customHeight="1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</row>
    <row r="438" spans="1:19" ht="9.75" customHeight="1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</row>
    <row r="439" spans="1:19" ht="9.75" customHeight="1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</row>
    <row r="440" spans="1:19" ht="9.75" customHeight="1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</row>
    <row r="441" spans="1:19" ht="9.75" customHeight="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</row>
    <row r="442" spans="1:19" ht="9.75" customHeight="1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</row>
    <row r="443" spans="1:19" ht="9.75" customHeight="1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</row>
    <row r="444" spans="1:19" ht="9.75" customHeight="1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</row>
    <row r="445" spans="1:19" ht="9.75" customHeight="1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</row>
    <row r="446" spans="1:19" ht="9.75" customHeight="1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</row>
    <row r="447" spans="1:19" ht="9.75" customHeight="1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</row>
    <row r="448" spans="1:19" ht="9.75" customHeight="1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</row>
    <row r="449" spans="1:19" ht="9.75" customHeight="1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</row>
    <row r="450" spans="1:19" ht="9.75" customHeight="1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</row>
    <row r="451" spans="1:19" ht="9.75" customHeight="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</row>
    <row r="452" spans="1:19" ht="9.75" customHeight="1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</row>
    <row r="453" spans="1:19" ht="9.75" customHeight="1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</row>
    <row r="454" spans="1:19" ht="9.75" customHeight="1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</row>
    <row r="455" spans="1:19" ht="9.75" customHeight="1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</row>
    <row r="456" spans="1:19" ht="9.75" customHeight="1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</row>
    <row r="457" spans="1:19" ht="9.75" customHeight="1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</row>
    <row r="458" spans="1:19" ht="9.75" customHeight="1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</row>
    <row r="459" spans="1:19" ht="9.75" customHeight="1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</row>
    <row r="460" spans="1:19" ht="9.75" customHeight="1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</row>
    <row r="461" spans="1:19" ht="9.75" customHeight="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</row>
    <row r="462" spans="1:19" ht="9.75" customHeight="1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</row>
    <row r="463" spans="1:19" ht="9.75" customHeight="1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</row>
    <row r="464" spans="1:19" ht="9.75" customHeight="1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</row>
    <row r="465" spans="1:19" ht="9.75" customHeight="1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</row>
    <row r="466" spans="1:19" ht="9.75" customHeight="1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</row>
    <row r="467" spans="1:19" ht="9.75" customHeight="1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</row>
    <row r="468" spans="1:19" ht="9.75" customHeight="1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</row>
    <row r="469" spans="1:19" ht="9.75" customHeight="1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</row>
    <row r="470" spans="1:19" ht="9.75" customHeight="1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</row>
    <row r="471" spans="1:19" ht="9.75" customHeight="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</row>
    <row r="472" spans="1:19" ht="9.75" customHeight="1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</row>
    <row r="473" spans="1:19" ht="9.75" customHeight="1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</row>
    <row r="474" spans="1:19" ht="9.75" customHeight="1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</row>
    <row r="475" spans="1:19" ht="9.75" customHeight="1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</row>
    <row r="476" spans="1:19" ht="9.75" customHeight="1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</row>
    <row r="477" spans="1:19" ht="9.75" customHeight="1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</row>
    <row r="478" spans="1:19" ht="9.75" customHeight="1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</row>
    <row r="479" spans="1:19" ht="9.75" customHeight="1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</row>
    <row r="480" spans="1:19" ht="9.75" customHeight="1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</row>
    <row r="481" spans="1:19" ht="9.75" customHeight="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</row>
    <row r="482" spans="1:19" ht="9.75" customHeight="1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</row>
    <row r="483" spans="1:19" ht="9.75" customHeight="1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</row>
    <row r="484" spans="1:19" ht="9.75" customHeight="1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</row>
    <row r="485" spans="1:19" ht="9.75" customHeight="1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</row>
    <row r="486" spans="1:19" ht="9.75" customHeight="1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</row>
    <row r="487" spans="1:19" ht="9.75" customHeight="1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</row>
    <row r="488" spans="1:19" ht="9.75" customHeight="1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</row>
    <row r="489" spans="1:19" ht="9.75" customHeight="1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</row>
    <row r="490" spans="1:19" ht="9.75" customHeight="1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</row>
    <row r="491" spans="1:19" ht="9.75" customHeight="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</row>
    <row r="492" spans="1:19" ht="9.75" customHeight="1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</row>
    <row r="493" spans="1:19" ht="9.75" customHeight="1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</row>
    <row r="494" spans="1:19" ht="9.75" customHeight="1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</row>
    <row r="495" spans="1:19" ht="9.75" customHeight="1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</row>
    <row r="496" spans="1:19" ht="9.75" customHeight="1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</row>
    <row r="497" spans="1:19" ht="9.75" customHeight="1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</row>
    <row r="498" spans="1:19" ht="9.75" customHeight="1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</row>
    <row r="499" spans="1:19" ht="9.75" customHeight="1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</row>
    <row r="500" spans="1:19" ht="9.75" customHeight="1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</row>
    <row r="501" spans="1:19" ht="9.75" customHeight="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</row>
    <row r="502" spans="1:19" ht="9.75" customHeight="1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</row>
    <row r="503" spans="1:19" ht="9.75" customHeight="1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</row>
    <row r="504" spans="1:19" ht="9.75" customHeight="1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</row>
    <row r="505" spans="1:19" ht="9.75" customHeight="1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</row>
    <row r="506" spans="1:19" ht="9.75" customHeight="1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</row>
    <row r="507" spans="1:19" ht="9.75" customHeight="1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</row>
    <row r="508" spans="1:19" ht="9.75" customHeight="1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</row>
    <row r="509" spans="1:19" ht="9.75" customHeight="1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</row>
    <row r="510" spans="1:19" ht="9.75" customHeight="1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</row>
    <row r="511" spans="1:19" ht="9.75" customHeight="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</row>
    <row r="512" spans="1:19" ht="9.75" customHeight="1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</row>
    <row r="513" spans="1:19" ht="9.75" customHeight="1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</row>
    <row r="514" spans="1:19" ht="9.75" customHeight="1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</row>
    <row r="515" spans="1:19" ht="9.75" customHeight="1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</row>
    <row r="516" spans="1:19" ht="9.75" customHeight="1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</row>
    <row r="517" spans="1:19" ht="9.75" customHeight="1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</row>
    <row r="518" spans="1:19" ht="9.75" customHeight="1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</row>
    <row r="519" spans="1:19" ht="9.75" customHeight="1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</row>
    <row r="520" spans="1:19" ht="9.75" customHeight="1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</row>
    <row r="521" spans="1:19" ht="9.75" customHeight="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</row>
    <row r="522" spans="1:19" ht="9.75" customHeight="1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</row>
    <row r="523" spans="1:19" ht="9.75" customHeight="1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</row>
    <row r="524" spans="1:19" ht="9.75" customHeight="1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</row>
    <row r="525" spans="1:19" ht="9.75" customHeight="1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</row>
    <row r="526" spans="1:19" ht="9.75" customHeight="1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</row>
    <row r="527" spans="1:19" ht="9.75" customHeight="1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</row>
    <row r="528" spans="1:19" ht="9.75" customHeight="1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</row>
    <row r="529" spans="1:19" ht="9.75" customHeight="1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</row>
    <row r="530" spans="1:19" ht="9.75" customHeight="1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</row>
    <row r="531" spans="1:19" ht="9.75" customHeight="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</row>
    <row r="532" spans="1:19" ht="9.75" customHeight="1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</row>
    <row r="533" spans="1:19" ht="9.75" customHeight="1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</row>
    <row r="534" spans="1:19" ht="9.75" customHeight="1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</row>
    <row r="535" spans="1:19" ht="9.75" customHeight="1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</row>
    <row r="536" spans="1:19" ht="9.75" customHeight="1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</row>
    <row r="537" spans="1:19" ht="9.75" customHeight="1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</row>
    <row r="538" spans="1:19" ht="9.75" customHeight="1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</row>
    <row r="539" spans="1:19" ht="9.75" customHeight="1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</row>
    <row r="540" spans="1:19" ht="9.75" customHeight="1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</row>
    <row r="541" spans="1:19" ht="9.75" customHeight="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</row>
    <row r="542" spans="1:19" ht="9.75" customHeight="1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</row>
    <row r="543" spans="1:19" ht="9.75" customHeight="1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</row>
    <row r="544" spans="1:19" ht="9.75" customHeight="1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</row>
    <row r="545" spans="1:19" ht="9.75" customHeight="1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</row>
    <row r="546" spans="1:19" ht="9.75" customHeight="1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</row>
    <row r="547" spans="1:19" ht="9.75" customHeight="1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</row>
    <row r="548" spans="1:19" ht="9.75" customHeight="1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</row>
    <row r="549" spans="1:19" ht="9.75" customHeight="1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</row>
    <row r="550" spans="1:19" ht="9.75" customHeight="1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</row>
    <row r="551" spans="1:19" ht="9.75" customHeight="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</row>
    <row r="552" spans="1:19" ht="9.75" customHeight="1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</row>
    <row r="553" spans="1:19" ht="9.75" customHeight="1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</row>
    <row r="554" spans="1:19" ht="9.75" customHeight="1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</row>
    <row r="555" spans="1:19" ht="9.75" customHeight="1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</row>
    <row r="556" spans="1:19" ht="9.75" customHeight="1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</row>
    <row r="557" spans="1:19" ht="9.75" customHeight="1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</row>
    <row r="558" spans="1:19" ht="9.75" customHeight="1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</row>
    <row r="559" spans="1:19" ht="9.75" customHeight="1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</row>
    <row r="560" spans="1:19" ht="9.75" customHeight="1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</row>
    <row r="561" spans="1:19" ht="9.75" customHeight="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</row>
    <row r="562" spans="1:19" ht="9.75" customHeight="1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</row>
    <row r="563" spans="1:19" ht="9.75" customHeight="1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</row>
    <row r="564" spans="1:19" ht="9.75" customHeight="1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</row>
    <row r="565" spans="1:19" ht="9.75" customHeight="1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</row>
    <row r="566" spans="1:19" ht="9.75" customHeight="1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</row>
    <row r="567" spans="1:19" ht="9.75" customHeight="1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</row>
    <row r="568" spans="1:19" ht="9.75" customHeight="1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</row>
    <row r="569" spans="1:19" ht="9.75" customHeight="1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</row>
    <row r="570" spans="1:19" ht="9.75" customHeight="1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</row>
    <row r="571" spans="1:19" ht="9.75" customHeight="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</row>
    <row r="572" spans="1:19" ht="9.75" customHeight="1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</row>
    <row r="573" spans="1:19" ht="9.75" customHeight="1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</row>
    <row r="574" spans="1:19" ht="9.75" customHeight="1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</row>
    <row r="575" spans="1:19" ht="9.75" customHeight="1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</row>
    <row r="576" spans="1:19" ht="9.75" customHeight="1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</row>
    <row r="577" spans="1:19" ht="9.75" customHeight="1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</row>
    <row r="578" spans="1:19" ht="9.75" customHeight="1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</row>
    <row r="579" spans="1:19" ht="9.75" customHeight="1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</row>
    <row r="580" spans="1:19" ht="9.75" customHeight="1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</row>
    <row r="581" spans="1:19" ht="9.75" customHeight="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</row>
    <row r="582" spans="1:19" ht="9.75" customHeight="1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</row>
    <row r="583" spans="1:19" ht="9.75" customHeight="1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</row>
    <row r="584" spans="1:19" ht="9.75" customHeight="1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</row>
    <row r="585" spans="1:19" ht="9.75" customHeight="1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</row>
    <row r="586" spans="1:19" ht="9.75" customHeight="1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</row>
    <row r="587" spans="1:19" ht="9.75" customHeight="1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</row>
    <row r="588" spans="1:19" ht="9.75" customHeight="1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</row>
    <row r="589" spans="1:19" ht="9.75" customHeight="1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</row>
    <row r="590" spans="1:19" ht="9.75" customHeight="1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</row>
    <row r="591" spans="1:19" ht="9.75" customHeight="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</row>
    <row r="592" spans="1:19" ht="9.75" customHeight="1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</row>
    <row r="593" spans="1:19" ht="9.75" customHeight="1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</row>
    <row r="594" spans="1:19" ht="9.75" customHeight="1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</row>
    <row r="595" spans="1:19" ht="9.75" customHeight="1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</row>
    <row r="596" spans="1:19" ht="9.75" customHeight="1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</row>
    <row r="597" spans="1:19" ht="9.75" customHeight="1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</row>
    <row r="598" spans="1:19" ht="9.75" customHeight="1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</row>
    <row r="599" spans="1:19" ht="9.75" customHeight="1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</row>
    <row r="600" spans="1:19" ht="9.75" customHeight="1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</row>
    <row r="601" spans="1:19" ht="9.75" customHeight="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</row>
    <row r="602" spans="1:19" ht="9.75" customHeight="1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</row>
    <row r="603" spans="1:19" ht="9.75" customHeight="1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</row>
    <row r="604" spans="1:19" ht="9.75" customHeight="1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</row>
    <row r="605" spans="1:19" ht="9.75" customHeight="1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</row>
    <row r="606" spans="1:19" ht="9.75" customHeight="1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</row>
    <row r="607" spans="1:19" ht="9.75" customHeight="1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</row>
    <row r="608" spans="1:19" ht="9.75" customHeight="1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</row>
    <row r="609" spans="1:19" ht="9.75" customHeight="1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</row>
    <row r="610" spans="1:19" ht="9.75" customHeight="1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</row>
    <row r="611" spans="1:19" ht="9.75" customHeight="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</row>
    <row r="612" spans="1:19" ht="9.75" customHeight="1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</row>
    <row r="613" spans="1:19" ht="9.75" customHeight="1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</row>
    <row r="614" spans="1:19" ht="9.75" customHeight="1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</row>
    <row r="615" spans="1:19" ht="9.75" customHeight="1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</row>
    <row r="616" spans="1:19" ht="9.75" customHeight="1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</row>
    <row r="617" spans="1:19" ht="9.75" customHeight="1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</row>
    <row r="618" spans="1:19" ht="9.75" customHeight="1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</row>
    <row r="619" spans="1:19" ht="9.75" customHeight="1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</row>
    <row r="620" spans="1:19" ht="9.75" customHeight="1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</row>
    <row r="621" spans="1:19" ht="9.75" customHeight="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</row>
    <row r="622" spans="1:19" ht="9.75" customHeight="1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</row>
    <row r="623" spans="1:19" ht="9.75" customHeight="1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</row>
    <row r="624" spans="1:19" ht="9.75" customHeight="1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</row>
    <row r="625" spans="1:19" ht="9.75" customHeight="1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</row>
    <row r="626" spans="1:19" ht="9.75" customHeight="1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</row>
    <row r="627" spans="1:19" ht="9.75" customHeight="1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</row>
    <row r="628" spans="1:19" ht="9.75" customHeight="1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</row>
    <row r="629" spans="1:19" ht="9.75" customHeight="1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</row>
    <row r="630" spans="1:19" ht="9.75" customHeight="1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</row>
    <row r="631" spans="1:19" ht="9.75" customHeight="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</row>
    <row r="632" spans="1:19" ht="9.75" customHeight="1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</row>
    <row r="633" spans="1:19" ht="9.75" customHeight="1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</row>
    <row r="634" spans="1:19" ht="9.75" customHeight="1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</row>
    <row r="635" spans="1:19" ht="9.75" customHeight="1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</row>
    <row r="636" spans="1:19" ht="9.75" customHeight="1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</row>
    <row r="637" spans="1:19" ht="9.75" customHeight="1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</row>
    <row r="638" spans="1:19" ht="9.75" customHeight="1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</row>
    <row r="639" spans="1:19" ht="9.75" customHeight="1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</row>
    <row r="640" spans="1:19" ht="9.75" customHeight="1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</row>
    <row r="641" spans="1:19" ht="9.75" customHeight="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</row>
    <row r="642" spans="1:19" ht="9.75" customHeight="1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</row>
    <row r="643" spans="1:19" ht="9.75" customHeight="1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</row>
    <row r="644" spans="1:19" ht="9.75" customHeight="1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</row>
    <row r="645" spans="1:19" ht="9.75" customHeight="1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</row>
    <row r="646" spans="1:19" ht="9.75" customHeight="1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</row>
    <row r="647" spans="1:19" ht="9.75" customHeight="1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</row>
    <row r="648" spans="1:19" ht="9.75" customHeight="1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</row>
    <row r="649" spans="1:19" ht="9.75" customHeight="1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</row>
    <row r="650" spans="1:19" ht="9.75" customHeight="1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</row>
    <row r="651" spans="1:19" ht="9.75" customHeight="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</row>
    <row r="652" spans="1:19" ht="9.75" customHeight="1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</row>
    <row r="653" spans="1:19" ht="9.75" customHeight="1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</row>
    <row r="654" spans="1:19" ht="9.75" customHeight="1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</row>
    <row r="655" spans="1:19" ht="9.75" customHeight="1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</row>
    <row r="656" spans="1:19" ht="9.75" customHeight="1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</row>
    <row r="657" spans="1:19" ht="9.75" customHeight="1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</row>
    <row r="658" spans="1:19" ht="9.75" customHeight="1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</row>
    <row r="659" spans="1:19" ht="9.75" customHeight="1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</row>
    <row r="660" spans="1:19" ht="9.75" customHeight="1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</row>
    <row r="661" spans="1:19" ht="9.75" customHeight="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</row>
    <row r="662" spans="1:19" ht="9.75" customHeight="1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</row>
    <row r="663" spans="1:19" ht="9.75" customHeight="1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</row>
    <row r="664" spans="1:19" ht="9.75" customHeight="1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</row>
    <row r="665" spans="1:19" ht="9.75" customHeight="1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</row>
    <row r="666" spans="1:19" ht="9.75" customHeight="1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</row>
    <row r="667" spans="1:19" ht="9.75" customHeight="1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</row>
    <row r="668" spans="1:19" ht="9.75" customHeight="1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</row>
    <row r="669" spans="1:19" ht="9.75" customHeight="1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</row>
    <row r="670" spans="1:19" ht="9.75" customHeight="1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</row>
    <row r="671" spans="1:19" ht="9.75" customHeight="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</row>
    <row r="672" spans="1:19" ht="9.75" customHeight="1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</row>
    <row r="673" spans="1:19" ht="9.75" customHeight="1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</row>
    <row r="674" spans="1:19" ht="9.75" customHeight="1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</row>
    <row r="675" spans="1:19" ht="9.75" customHeight="1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</row>
    <row r="676" spans="1:19" ht="9.75" customHeight="1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</row>
    <row r="677" spans="1:19" ht="9.75" customHeight="1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</row>
    <row r="678" spans="1:19" ht="9.75" customHeight="1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</row>
    <row r="679" spans="1:19" ht="9.75" customHeight="1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</row>
    <row r="680" spans="1:19" ht="9.75" customHeight="1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</row>
    <row r="681" spans="1:19" ht="9.75" customHeight="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</row>
    <row r="682" spans="1:19" ht="9.75" customHeight="1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</row>
    <row r="683" spans="1:19" ht="9.75" customHeight="1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</row>
    <row r="684" spans="1:19" ht="9.75" customHeight="1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</row>
    <row r="685" spans="1:19" ht="9.75" customHeight="1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</row>
    <row r="686" spans="1:19" ht="9.75" customHeight="1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</row>
    <row r="687" spans="1:19" ht="9.75" customHeight="1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</row>
    <row r="688" spans="1:19" ht="9.75" customHeight="1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</row>
    <row r="689" spans="1:19" ht="9.75" customHeight="1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</row>
    <row r="690" spans="1:19" ht="9.75" customHeight="1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</row>
    <row r="691" spans="1:19" ht="9.75" customHeight="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</row>
    <row r="692" spans="1:19" ht="9.75" customHeight="1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</row>
    <row r="693" spans="1:19" ht="9.75" customHeight="1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</row>
    <row r="694" spans="1:19" ht="9.75" customHeight="1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</row>
    <row r="695" spans="1:19" ht="9.75" customHeight="1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</row>
    <row r="696" spans="1:19" ht="9.75" customHeight="1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</row>
    <row r="697" spans="1:19" ht="9.75" customHeight="1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</row>
    <row r="698" spans="1:19" ht="9.75" customHeight="1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</row>
    <row r="699" spans="1:19" ht="9.75" customHeight="1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</row>
    <row r="700" spans="1:19" ht="9.75" customHeight="1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</row>
    <row r="701" spans="1:19" ht="9.75" customHeight="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</row>
    <row r="702" spans="1:19" ht="9.75" customHeight="1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</row>
    <row r="703" spans="1:19" ht="9.75" customHeight="1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</row>
    <row r="704" spans="1:19" ht="9.75" customHeight="1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</row>
    <row r="705" spans="1:19" ht="9.75" customHeight="1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</row>
    <row r="706" spans="1:19" ht="9.75" customHeight="1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</row>
    <row r="707" spans="1:19" ht="9.75" customHeight="1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</row>
    <row r="708" spans="1:19" ht="9.75" customHeight="1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</row>
    <row r="709" spans="1:19" ht="9.75" customHeight="1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</row>
    <row r="710" spans="1:19" ht="9.75" customHeight="1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</row>
    <row r="711" spans="1:19" ht="9.75" customHeight="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</row>
    <row r="712" spans="1:19" ht="9.75" customHeight="1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</row>
    <row r="713" spans="1:19" ht="9.75" customHeight="1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</row>
    <row r="714" spans="1:19" ht="9.75" customHeight="1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</row>
    <row r="715" spans="1:19" ht="9.75" customHeight="1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</row>
    <row r="716" spans="1:19" ht="9.75" customHeight="1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</row>
    <row r="717" spans="1:19" ht="9.75" customHeight="1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</row>
    <row r="718" spans="1:19" ht="9.75" customHeight="1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</row>
    <row r="719" spans="1:19" ht="9.75" customHeight="1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</row>
    <row r="720" spans="1:19" ht="9.75" customHeight="1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</row>
    <row r="721" spans="1:19" ht="9.75" customHeight="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</row>
    <row r="722" spans="1:19" ht="9.75" customHeight="1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</row>
    <row r="723" spans="1:19" ht="9.75" customHeight="1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</row>
    <row r="724" spans="1:19" ht="9.75" customHeight="1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</row>
    <row r="725" spans="1:19" ht="9.75" customHeight="1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</row>
    <row r="726" spans="1:19" ht="9.75" customHeight="1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</row>
    <row r="727" spans="1:19" ht="9.75" customHeight="1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</row>
    <row r="728" spans="1:19" ht="9.75" customHeight="1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</row>
    <row r="729" spans="1:19" ht="9.75" customHeight="1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</row>
    <row r="730" spans="1:19" ht="9.75" customHeight="1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</row>
    <row r="731" spans="1:19" ht="9.75" customHeight="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</row>
    <row r="732" spans="1:19" ht="9.75" customHeight="1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</row>
    <row r="733" spans="1:19" ht="9.75" customHeight="1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</row>
    <row r="734" spans="1:19" ht="9.75" customHeight="1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</row>
    <row r="735" spans="1:19" ht="9.75" customHeight="1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</row>
    <row r="736" spans="1:19" ht="9.75" customHeight="1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</row>
    <row r="737" spans="1:19" ht="9.75" customHeight="1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</row>
    <row r="738" spans="1:19" ht="9.75" customHeight="1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</row>
    <row r="739" spans="1:19" ht="9.75" customHeight="1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</row>
    <row r="740" spans="1:19" ht="9.75" customHeight="1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</row>
    <row r="741" spans="1:19" ht="9.75" customHeight="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</row>
    <row r="742" spans="1:19" ht="9.75" customHeight="1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</row>
    <row r="743" spans="1:19" ht="9.75" customHeight="1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</row>
    <row r="744" spans="1:19" ht="9.75" customHeight="1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</row>
    <row r="745" spans="1:19" ht="9.75" customHeight="1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</row>
    <row r="746" spans="1:19" ht="9.75" customHeight="1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</row>
    <row r="747" spans="1:19" ht="9.75" customHeight="1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</row>
    <row r="748" spans="1:19" ht="9.75" customHeight="1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</row>
    <row r="749" spans="1:19" ht="9.75" customHeight="1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</row>
    <row r="750" spans="1:19" ht="9.75" customHeight="1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</row>
    <row r="751" spans="1:19" ht="9.75" customHeight="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</row>
    <row r="752" spans="1:19" ht="9.75" customHeight="1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</row>
    <row r="753" spans="1:19" ht="9.75" customHeight="1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</row>
    <row r="754" spans="1:19" ht="9.75" customHeight="1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</row>
    <row r="755" spans="1:19" ht="9.75" customHeight="1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</row>
    <row r="756" spans="1:19" ht="9.75" customHeight="1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</row>
    <row r="757" spans="1:19" ht="9.75" customHeight="1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</row>
    <row r="758" spans="1:19" ht="9.75" customHeight="1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</row>
    <row r="759" spans="1:19" ht="9.75" customHeight="1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</row>
    <row r="760" spans="1:19" ht="9.75" customHeight="1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</row>
    <row r="761" spans="1:19" ht="9.75" customHeight="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</row>
    <row r="762" spans="1:19" ht="9.75" customHeight="1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</row>
    <row r="763" spans="1:19" ht="9.75" customHeight="1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</row>
    <row r="764" spans="1:19" ht="9.75" customHeight="1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</row>
    <row r="765" spans="1:19" ht="9.75" customHeight="1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</row>
    <row r="766" spans="1:19" ht="9.75" customHeight="1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</row>
    <row r="767" spans="1:19" ht="9.75" customHeight="1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</row>
    <row r="768" spans="1:19" ht="9.75" customHeight="1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</row>
    <row r="769" spans="1:19" ht="9.75" customHeight="1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</row>
    <row r="770" spans="1:19" ht="9.75" customHeight="1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</row>
    <row r="771" spans="1:19" ht="9.75" customHeight="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</row>
    <row r="772" spans="1:19" ht="9.75" customHeight="1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</row>
    <row r="773" spans="1:19" ht="9.75" customHeight="1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</row>
    <row r="774" spans="1:19" ht="9.75" customHeight="1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</row>
    <row r="775" spans="1:19" ht="9.75" customHeight="1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</row>
    <row r="776" spans="1:19" ht="9.75" customHeight="1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</row>
    <row r="777" spans="1:19" ht="9.75" customHeight="1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</row>
    <row r="778" spans="1:19" ht="9.75" customHeight="1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</row>
    <row r="779" spans="1:19" ht="9.75" customHeight="1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</row>
    <row r="780" spans="1:19" ht="9.75" customHeight="1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</row>
    <row r="781" spans="1:19" ht="9.75" customHeight="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</row>
    <row r="782" spans="1:19" ht="9.75" customHeight="1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</row>
    <row r="783" spans="1:19" ht="9.75" customHeight="1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</row>
    <row r="784" spans="1:19" ht="9.75" customHeight="1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</row>
    <row r="785" spans="1:19" ht="9.75" customHeight="1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</row>
    <row r="786" spans="1:19" ht="9.75" customHeight="1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</row>
    <row r="787" spans="1:19" ht="9.75" customHeight="1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</row>
    <row r="788" spans="1:19" ht="9.75" customHeight="1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</row>
    <row r="789" spans="1:19" ht="9.75" customHeight="1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</row>
    <row r="790" spans="1:19" ht="9.75" customHeight="1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</row>
    <row r="791" spans="1:19" ht="9.75" customHeight="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</row>
    <row r="792" spans="1:19" ht="9.75" customHeight="1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</row>
    <row r="793" spans="1:19" ht="9.75" customHeight="1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</row>
    <row r="794" spans="1:19" ht="9.75" customHeight="1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</row>
    <row r="795" spans="1:19" ht="9.75" customHeight="1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</row>
    <row r="796" spans="1:19" ht="9.75" customHeight="1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</row>
    <row r="797" spans="1:19" ht="9.75" customHeight="1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</row>
    <row r="798" spans="1:19" ht="9.75" customHeight="1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</row>
    <row r="799" spans="1:19" ht="9.75" customHeight="1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</row>
    <row r="800" spans="1:19" ht="9.75" customHeight="1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</row>
    <row r="801" spans="1:19" ht="9.75" customHeight="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</row>
    <row r="802" spans="1:19" ht="9.75" customHeight="1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</row>
    <row r="803" spans="1:19" ht="9.75" customHeight="1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</row>
    <row r="804" spans="1:19" ht="9.75" customHeight="1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</row>
    <row r="805" spans="1:19" ht="9.75" customHeight="1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</row>
    <row r="806" spans="1:19" ht="9.75" customHeight="1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</row>
    <row r="807" spans="1:19" ht="9.75" customHeight="1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</row>
    <row r="808" spans="1:19" ht="9.75" customHeight="1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</row>
    <row r="809" spans="1:19" ht="9.75" customHeight="1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</row>
    <row r="810" spans="1:19" ht="9.75" customHeight="1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</row>
    <row r="811" spans="1:19" ht="9.75" customHeight="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</row>
    <row r="812" spans="1:19" ht="9.75" customHeight="1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</row>
    <row r="813" spans="1:19" ht="9.75" customHeight="1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</row>
    <row r="814" spans="1:19" ht="9.75" customHeight="1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</row>
    <row r="815" spans="1:19" ht="9.75" customHeight="1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</row>
    <row r="816" spans="1:19" ht="9.75" customHeight="1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</row>
    <row r="817" spans="1:19" ht="9.75" customHeight="1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</row>
    <row r="818" spans="1:19" ht="9.75" customHeight="1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</row>
    <row r="819" spans="1:19" ht="9.75" customHeight="1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</row>
    <row r="820" spans="1:19" ht="9.75" customHeight="1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</row>
    <row r="821" spans="1:19" ht="9.75" customHeight="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</row>
    <row r="822" spans="1:19" ht="9.75" customHeight="1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</row>
    <row r="823" spans="1:19" ht="9.75" customHeight="1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</row>
    <row r="824" spans="1:19" ht="9.75" customHeight="1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</row>
    <row r="825" spans="1:19" ht="9.75" customHeight="1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</row>
    <row r="826" spans="1:19" ht="9.75" customHeight="1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</row>
    <row r="827" spans="1:19" ht="9.75" customHeight="1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</row>
    <row r="828" spans="1:19" ht="9.75" customHeight="1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</row>
    <row r="829" spans="1:19" ht="9.75" customHeight="1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</row>
    <row r="830" spans="1:19" ht="9.75" customHeight="1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</row>
    <row r="831" spans="1:19" ht="9.75" customHeight="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</row>
    <row r="832" spans="1:19" ht="9.75" customHeight="1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</row>
    <row r="833" spans="1:19" ht="9.75" customHeight="1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</row>
    <row r="834" spans="1:19" ht="9.75" customHeight="1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</row>
    <row r="835" spans="1:19" ht="9.75" customHeight="1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</row>
    <row r="836" spans="1:19" ht="9.75" customHeight="1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</row>
    <row r="837" spans="1:19" ht="9.75" customHeight="1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</row>
    <row r="838" spans="1:19" ht="9.75" customHeight="1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</row>
    <row r="839" spans="1:19" ht="9.75" customHeight="1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</row>
    <row r="840" spans="1:19" ht="9.75" customHeight="1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</row>
    <row r="841" spans="1:19" ht="9.75" customHeight="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</row>
    <row r="842" spans="1:19" ht="9.75" customHeight="1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</row>
    <row r="843" spans="1:19" ht="9.75" customHeight="1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</row>
    <row r="844" spans="1:19" ht="9.75" customHeight="1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</row>
    <row r="845" spans="1:19" ht="9.75" customHeight="1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</row>
    <row r="846" spans="1:19" ht="9.75" customHeight="1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</row>
    <row r="847" spans="1:19" ht="9.75" customHeight="1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</row>
    <row r="848" spans="1:19" ht="9.75" customHeight="1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</row>
    <row r="849" spans="1:19" ht="9.75" customHeight="1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</row>
    <row r="850" spans="1:19" ht="9.75" customHeight="1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</row>
    <row r="851" spans="1:19" ht="9.75" customHeight="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</row>
    <row r="852" spans="1:19" ht="9.75" customHeight="1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</row>
    <row r="853" spans="1:19" ht="9.75" customHeight="1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</row>
    <row r="854" spans="1:19" ht="9.75" customHeight="1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</row>
    <row r="855" spans="1:19" ht="9.75" customHeight="1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</row>
    <row r="856" spans="1:19" ht="9.75" customHeight="1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</row>
    <row r="857" spans="1:19" ht="9.75" customHeight="1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</row>
    <row r="858" spans="1:19" ht="9.75" customHeight="1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</row>
    <row r="859" spans="1:19" ht="9.75" customHeight="1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</row>
    <row r="860" spans="1:19" ht="9.75" customHeight="1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</row>
    <row r="861" spans="1:19" ht="9.75" customHeight="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</row>
    <row r="862" spans="1:19" ht="9.75" customHeight="1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</row>
    <row r="863" spans="1:19" ht="9.75" customHeight="1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</row>
    <row r="864" spans="1:19" ht="9.75" customHeight="1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</row>
    <row r="865" spans="1:19" ht="9.75" customHeight="1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</row>
    <row r="866" spans="1:19" ht="9.75" customHeight="1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</row>
    <row r="867" spans="1:19" ht="9.75" customHeight="1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</row>
    <row r="868" spans="1:19" ht="9.75" customHeight="1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</row>
    <row r="869" spans="1:19" ht="9.75" customHeight="1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</row>
    <row r="870" spans="1:19" ht="9.75" customHeight="1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</row>
    <row r="871" spans="1:19" ht="9.75" customHeight="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</row>
    <row r="872" spans="1:19" ht="9.75" customHeight="1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</row>
    <row r="873" spans="1:19" ht="9.75" customHeight="1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</row>
    <row r="874" spans="1:19" ht="9.75" customHeight="1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</row>
    <row r="875" spans="1:19" ht="9.75" customHeight="1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</row>
    <row r="876" spans="1:19" ht="9.75" customHeight="1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</row>
    <row r="877" spans="1:19" ht="9.75" customHeight="1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</row>
    <row r="878" spans="1:19" ht="9.75" customHeight="1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</row>
    <row r="879" spans="1:19" ht="9.75" customHeight="1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</row>
    <row r="880" spans="1:19" ht="9.75" customHeight="1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</row>
    <row r="881" spans="1:19" ht="9.75" customHeight="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</row>
    <row r="882" spans="1:19" ht="9.75" customHeight="1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</row>
    <row r="883" spans="1:19" ht="9.75" customHeight="1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</row>
    <row r="884" spans="1:19" ht="9.75" customHeight="1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</row>
    <row r="885" spans="1:19" ht="9.75" customHeight="1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</row>
    <row r="886" spans="1:19" ht="9.75" customHeight="1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</row>
    <row r="887" spans="1:19" ht="9.75" customHeight="1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</row>
    <row r="888" spans="1:19" ht="9.75" customHeight="1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</row>
    <row r="889" spans="1:19" ht="9.75" customHeight="1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</row>
    <row r="890" spans="1:19" ht="9.75" customHeight="1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</row>
    <row r="891" spans="1:19" ht="9.75" customHeight="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</row>
    <row r="892" spans="1:19" ht="9.75" customHeight="1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</row>
    <row r="893" spans="1:19" ht="9.75" customHeight="1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</row>
    <row r="894" spans="1:19" ht="9.75" customHeight="1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</row>
    <row r="895" spans="1:19" ht="9.75" customHeight="1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</row>
    <row r="896" spans="1:19" ht="9.75" customHeight="1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</row>
    <row r="897" spans="1:19" ht="9.75" customHeight="1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</row>
    <row r="898" spans="1:19" ht="9.75" customHeight="1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</row>
    <row r="899" spans="1:19" ht="9.75" customHeight="1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</row>
    <row r="900" spans="1:19" ht="9.75" customHeight="1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</row>
    <row r="901" spans="1:19" ht="9.75" customHeight="1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</row>
    <row r="902" spans="1:19" ht="9.75" customHeight="1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</row>
    <row r="903" spans="1:19" ht="9.75" customHeight="1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</row>
    <row r="904" spans="1:19" ht="9.75" customHeight="1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</row>
    <row r="905" spans="1:19" ht="9.75" customHeight="1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</row>
    <row r="906" spans="1:19" ht="9.75" customHeight="1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</row>
    <row r="907" spans="1:19" ht="9.75" customHeight="1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</row>
    <row r="908" spans="1:19" ht="9.75" customHeight="1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</row>
    <row r="909" spans="1:19" ht="9.75" customHeight="1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</row>
    <row r="910" spans="1:19" ht="9.75" customHeight="1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</row>
    <row r="911" spans="1:19" ht="9.75" customHeight="1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</row>
    <row r="912" spans="1:19" ht="9.75" customHeight="1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</row>
    <row r="913" spans="1:19" ht="9.75" customHeight="1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</row>
    <row r="914" spans="1:19" ht="9.75" customHeight="1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</row>
    <row r="915" spans="1:19" ht="9.75" customHeight="1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</row>
    <row r="916" spans="1:19" ht="9.75" customHeight="1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</row>
    <row r="917" spans="1:19" ht="9.75" customHeight="1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</row>
    <row r="918" spans="1:19" ht="9.75" customHeight="1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</row>
    <row r="919" spans="1:19" ht="9.75" customHeight="1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</row>
    <row r="920" spans="1:19" ht="9.75" customHeight="1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</row>
    <row r="921" spans="1:19" ht="9.75" customHeight="1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</row>
    <row r="922" spans="1:19" ht="9.75" customHeight="1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</row>
    <row r="923" spans="1:19" ht="9.75" customHeight="1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</row>
    <row r="924" spans="1:19" ht="9.75" customHeight="1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</row>
    <row r="925" spans="1:19" ht="9.75" customHeight="1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</row>
    <row r="926" spans="1:19" ht="9.75" customHeight="1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</row>
    <row r="927" spans="1:19" ht="9.75" customHeight="1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</row>
    <row r="928" spans="1:19" ht="9.75" customHeight="1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</row>
    <row r="929" spans="1:19" ht="9.75" customHeight="1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</row>
    <row r="930" spans="1:19" ht="9.75" customHeight="1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</row>
    <row r="931" spans="1:19" ht="9.75" customHeight="1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</row>
    <row r="932" spans="1:19" ht="9.75" customHeight="1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</row>
    <row r="933" spans="1:19" ht="9.75" customHeight="1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</row>
    <row r="934" spans="1:19" ht="9.75" customHeight="1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</row>
    <row r="935" spans="1:19" ht="9.75" customHeight="1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</row>
    <row r="936" spans="1:19" ht="9.75" customHeight="1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</row>
    <row r="937" spans="1:19" ht="9.75" customHeight="1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</row>
    <row r="938" spans="1:19" ht="9.75" customHeight="1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</row>
    <row r="939" spans="1:19" ht="9.75" customHeight="1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</row>
    <row r="940" spans="1:19" ht="9.75" customHeight="1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</row>
    <row r="941" spans="1:19" ht="9.75" customHeight="1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</row>
    <row r="942" spans="1:19" ht="9.75" customHeight="1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</row>
    <row r="943" spans="1:19" ht="9.75" customHeight="1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</row>
    <row r="944" spans="1:19" ht="9.75" customHeight="1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</row>
    <row r="945" spans="1:19" ht="9.75" customHeight="1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</row>
    <row r="946" spans="1:19" ht="9.75" customHeight="1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</row>
    <row r="947" spans="1:19" ht="9.75" customHeight="1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</row>
    <row r="948" spans="1:19" ht="9.75" customHeight="1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</row>
    <row r="949" spans="1:19" ht="9.75" customHeight="1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</row>
    <row r="950" spans="1:19" ht="9.75" customHeight="1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</row>
    <row r="951" spans="1:19" ht="9.75" customHeight="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</row>
    <row r="952" spans="1:19" ht="9.75" customHeight="1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</row>
    <row r="953" spans="1:19" ht="9.75" customHeight="1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</row>
    <row r="954" spans="1:19" ht="9.75" customHeight="1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</row>
    <row r="955" spans="1:19" ht="9.75" customHeight="1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</row>
    <row r="956" spans="1:19" ht="9.75" customHeight="1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</row>
    <row r="957" spans="1:19" ht="9.75" customHeight="1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</row>
    <row r="958" spans="1:19" ht="9.75" customHeight="1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</row>
    <row r="959" spans="1:19" ht="9.75" customHeight="1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</row>
    <row r="960" spans="1:19" ht="9.75" customHeight="1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</row>
    <row r="961" spans="1:19" ht="9.75" customHeight="1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</row>
    <row r="962" spans="1:19" ht="9.75" customHeight="1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</row>
    <row r="963" spans="1:19" ht="9.75" customHeight="1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</row>
    <row r="964" spans="1:19" ht="9.75" customHeight="1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</row>
    <row r="965" spans="1:19" ht="9.75" customHeight="1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</row>
    <row r="966" spans="1:19" ht="9.75" customHeight="1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</row>
    <row r="967" spans="1:19" ht="9.75" customHeight="1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</row>
    <row r="968" spans="1:19" ht="9.75" customHeight="1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</row>
    <row r="969" spans="1:19" ht="9.75" customHeight="1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</row>
    <row r="970" spans="1:19" ht="9.75" customHeight="1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</row>
    <row r="971" spans="1:19" ht="9.75" customHeight="1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</row>
    <row r="972" spans="1:19" ht="9.75" customHeight="1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</row>
    <row r="973" spans="1:19" ht="9.75" customHeight="1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</row>
    <row r="974" spans="1:19" ht="9.75" customHeight="1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</row>
    <row r="975" spans="1:19" ht="9.75" customHeight="1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</row>
    <row r="976" spans="1:19" ht="9.75" customHeight="1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</row>
    <row r="977" spans="1:19" ht="9.75" customHeight="1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</row>
    <row r="978" spans="1:19" ht="9.75" customHeight="1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</row>
    <row r="979" spans="1:19" ht="9.75" customHeight="1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</row>
    <row r="980" spans="1:19" ht="9.75" customHeight="1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</row>
    <row r="981" spans="1:19" ht="9.75" customHeight="1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</row>
    <row r="982" spans="1:19" ht="9.75" customHeight="1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</row>
    <row r="983" spans="1:19" ht="9.75" customHeight="1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</row>
    <row r="984" spans="1:19" ht="9.75" customHeight="1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</row>
    <row r="985" spans="1:19" ht="9.75" customHeight="1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</row>
    <row r="986" spans="1:19" ht="9.75" customHeight="1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</row>
    <row r="987" spans="1:19" ht="9.75" customHeight="1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</row>
    <row r="988" spans="1:19" ht="9.75" customHeight="1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</row>
    <row r="989" spans="1:19" ht="9.75" customHeight="1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</row>
    <row r="990" spans="1:19" ht="9.75" customHeight="1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</row>
    <row r="991" spans="1:19" ht="9.75" customHeight="1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</row>
    <row r="992" spans="1:19" ht="9.75" customHeight="1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</row>
    <row r="993" spans="1:19" ht="9.75" customHeight="1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</row>
    <row r="994" spans="1:19" ht="9.75" customHeight="1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</row>
    <row r="995" spans="1:19" ht="9.75" customHeight="1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</row>
    <row r="996" spans="1:19" ht="9.75" customHeight="1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</row>
    <row r="997" spans="1:19" ht="9.75" customHeight="1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</row>
    <row r="998" spans="1:19" ht="9.75" customHeight="1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</row>
    <row r="999" spans="1:19" ht="9.75" customHeight="1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</row>
    <row r="1000" spans="1:19" ht="9.75" customHeight="1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</row>
    <row r="1001" spans="1:19" ht="9.75" customHeight="1">
      <c r="A1001" s="158"/>
      <c r="B1001" s="158"/>
      <c r="C1001" s="158"/>
      <c r="D1001" s="158"/>
      <c r="E1001" s="158"/>
      <c r="F1001" s="158"/>
      <c r="G1001" s="158"/>
      <c r="H1001" s="158"/>
      <c r="I1001" s="158"/>
      <c r="J1001" s="158"/>
      <c r="K1001" s="158"/>
      <c r="L1001" s="158"/>
      <c r="M1001" s="158"/>
      <c r="N1001" s="158"/>
      <c r="O1001" s="158"/>
      <c r="P1001" s="158"/>
      <c r="Q1001" s="158"/>
      <c r="R1001" s="158"/>
      <c r="S1001" s="158"/>
    </row>
  </sheetData>
  <mergeCells count="2">
    <mergeCell ref="A1:E1"/>
    <mergeCell ref="E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Assumption Table</vt:lpstr>
      <vt:lpstr>Projection Model</vt:lpstr>
      <vt:lpstr>Valuation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Likhith Bhargav</cp:lastModifiedBy>
  <dcterms:created xsi:type="dcterms:W3CDTF">2025-03-09T02:23:30Z</dcterms:created>
  <dcterms:modified xsi:type="dcterms:W3CDTF">2025-04-29T17:20:57Z</dcterms:modified>
</cp:coreProperties>
</file>